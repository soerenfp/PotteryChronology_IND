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oere\Desktop\PhD\Excel\RStudio\"/>
    </mc:Choice>
  </mc:AlternateContent>
  <xr:revisionPtr revIDLastSave="0" documentId="8_{BF93A568-D632-401B-BC18-30DE8904B600}" xr6:coauthVersionLast="47" xr6:coauthVersionMax="47" xr10:uidLastSave="{00000000-0000-0000-0000-000000000000}"/>
  <bookViews>
    <workbookView xWindow="-120" yWindow="-120" windowWidth="38640" windowHeight="21120" xr2:uid="{7003F07D-E583-4AD7-A284-02BDBDDC597C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612" i="1" l="1"/>
  <c r="V612" i="1" s="1"/>
  <c r="W612" i="1" s="1"/>
  <c r="T612" i="1"/>
  <c r="S612" i="1"/>
  <c r="H612" i="1"/>
  <c r="U611" i="1"/>
  <c r="V611" i="1" s="1"/>
  <c r="W611" i="1" s="1"/>
  <c r="T611" i="1"/>
  <c r="S611" i="1"/>
  <c r="H611" i="1"/>
  <c r="U610" i="1"/>
  <c r="V610" i="1" s="1"/>
  <c r="W610" i="1" s="1"/>
  <c r="T610" i="1"/>
  <c r="S610" i="1"/>
  <c r="H610" i="1"/>
  <c r="U609" i="1"/>
  <c r="V609" i="1" s="1"/>
  <c r="W609" i="1" s="1"/>
  <c r="T609" i="1"/>
  <c r="S609" i="1"/>
  <c r="H609" i="1"/>
  <c r="U608" i="1"/>
  <c r="V608" i="1" s="1"/>
  <c r="W608" i="1" s="1"/>
  <c r="T608" i="1"/>
  <c r="S608" i="1"/>
  <c r="H608" i="1"/>
  <c r="U607" i="1"/>
  <c r="V607" i="1" s="1"/>
  <c r="W607" i="1" s="1"/>
  <c r="T607" i="1"/>
  <c r="S607" i="1"/>
  <c r="H607" i="1"/>
  <c r="U606" i="1"/>
  <c r="V606" i="1" s="1"/>
  <c r="W606" i="1" s="1"/>
  <c r="T606" i="1"/>
  <c r="S606" i="1"/>
  <c r="H606" i="1"/>
  <c r="U605" i="1"/>
  <c r="T605" i="1"/>
  <c r="V605" i="1" s="1"/>
  <c r="W605" i="1" s="1"/>
  <c r="S605" i="1"/>
  <c r="H605" i="1"/>
  <c r="U604" i="1"/>
  <c r="T604" i="1"/>
  <c r="V604" i="1" s="1"/>
  <c r="W604" i="1" s="1"/>
  <c r="S604" i="1"/>
  <c r="H604" i="1"/>
  <c r="V603" i="1"/>
  <c r="W603" i="1" s="1"/>
  <c r="U603" i="1"/>
  <c r="T603" i="1"/>
  <c r="S603" i="1"/>
  <c r="H603" i="1"/>
  <c r="V602" i="1"/>
  <c r="W602" i="1" s="1"/>
  <c r="U602" i="1"/>
  <c r="T602" i="1"/>
  <c r="S602" i="1"/>
  <c r="H602" i="1"/>
  <c r="U601" i="1"/>
  <c r="V601" i="1" s="1"/>
  <c r="W601" i="1" s="1"/>
  <c r="T601" i="1"/>
  <c r="S601" i="1"/>
  <c r="H601" i="1"/>
  <c r="U600" i="1"/>
  <c r="V600" i="1" s="1"/>
  <c r="W600" i="1" s="1"/>
  <c r="T600" i="1"/>
  <c r="S600" i="1"/>
  <c r="H600" i="1"/>
  <c r="U599" i="1"/>
  <c r="V599" i="1" s="1"/>
  <c r="W599" i="1" s="1"/>
  <c r="T599" i="1"/>
  <c r="S599" i="1"/>
  <c r="H599" i="1"/>
  <c r="U598" i="1"/>
  <c r="V598" i="1" s="1"/>
  <c r="W598" i="1" s="1"/>
  <c r="T598" i="1"/>
  <c r="S598" i="1"/>
  <c r="H598" i="1"/>
  <c r="U597" i="1"/>
  <c r="V597" i="1" s="1"/>
  <c r="W597" i="1" s="1"/>
  <c r="T597" i="1"/>
  <c r="S597" i="1"/>
  <c r="H597" i="1"/>
  <c r="U596" i="1"/>
  <c r="V596" i="1" s="1"/>
  <c r="W596" i="1" s="1"/>
  <c r="T596" i="1"/>
  <c r="S596" i="1"/>
  <c r="H596" i="1"/>
  <c r="U595" i="1"/>
  <c r="V595" i="1" s="1"/>
  <c r="W595" i="1" s="1"/>
  <c r="T595" i="1"/>
  <c r="S595" i="1"/>
  <c r="H595" i="1"/>
  <c r="U594" i="1"/>
  <c r="V594" i="1" s="1"/>
  <c r="W594" i="1" s="1"/>
  <c r="T594" i="1"/>
  <c r="S594" i="1"/>
  <c r="H594" i="1"/>
  <c r="U593" i="1"/>
  <c r="T593" i="1"/>
  <c r="V593" i="1" s="1"/>
  <c r="W593" i="1" s="1"/>
  <c r="S593" i="1"/>
  <c r="H593" i="1"/>
  <c r="U592" i="1"/>
  <c r="V592" i="1" s="1"/>
  <c r="W592" i="1" s="1"/>
  <c r="T592" i="1"/>
  <c r="S592" i="1"/>
  <c r="H592" i="1"/>
  <c r="U591" i="1"/>
  <c r="T591" i="1"/>
  <c r="V591" i="1" s="1"/>
  <c r="W591" i="1" s="1"/>
  <c r="S591" i="1"/>
  <c r="H591" i="1"/>
  <c r="W590" i="1"/>
  <c r="U590" i="1"/>
  <c r="T590" i="1"/>
  <c r="V590" i="1" s="1"/>
  <c r="S590" i="1"/>
  <c r="H590" i="1"/>
  <c r="V589" i="1"/>
  <c r="W589" i="1" s="1"/>
  <c r="U589" i="1"/>
  <c r="T589" i="1"/>
  <c r="S589" i="1"/>
  <c r="H589" i="1"/>
  <c r="U588" i="1"/>
  <c r="V588" i="1" s="1"/>
  <c r="W588" i="1" s="1"/>
  <c r="T588" i="1"/>
  <c r="S588" i="1"/>
  <c r="H588" i="1"/>
  <c r="U587" i="1"/>
  <c r="T587" i="1"/>
  <c r="V587" i="1" s="1"/>
  <c r="W587" i="1" s="1"/>
  <c r="S587" i="1"/>
  <c r="H587" i="1"/>
  <c r="U586" i="1"/>
  <c r="V586" i="1" s="1"/>
  <c r="W586" i="1" s="1"/>
  <c r="T586" i="1"/>
  <c r="S586" i="1"/>
  <c r="H586" i="1"/>
  <c r="U585" i="1"/>
  <c r="V585" i="1" s="1"/>
  <c r="W585" i="1" s="1"/>
  <c r="T585" i="1"/>
  <c r="S585" i="1"/>
  <c r="H585" i="1"/>
  <c r="U584" i="1"/>
  <c r="V584" i="1" s="1"/>
  <c r="W584" i="1" s="1"/>
  <c r="T584" i="1"/>
  <c r="S584" i="1"/>
  <c r="H584" i="1"/>
  <c r="U583" i="1"/>
  <c r="V583" i="1" s="1"/>
  <c r="W583" i="1" s="1"/>
  <c r="T583" i="1"/>
  <c r="S583" i="1"/>
  <c r="H583" i="1"/>
  <c r="U582" i="1"/>
  <c r="V582" i="1" s="1"/>
  <c r="W582" i="1" s="1"/>
  <c r="T582" i="1"/>
  <c r="S582" i="1"/>
  <c r="H582" i="1"/>
  <c r="U581" i="1"/>
  <c r="V581" i="1" s="1"/>
  <c r="W581" i="1" s="1"/>
  <c r="T581" i="1"/>
  <c r="S581" i="1"/>
  <c r="H581" i="1"/>
  <c r="U580" i="1"/>
  <c r="V580" i="1" s="1"/>
  <c r="W580" i="1" s="1"/>
  <c r="T580" i="1"/>
  <c r="S580" i="1"/>
  <c r="H580" i="1"/>
  <c r="U579" i="1"/>
  <c r="V579" i="1" s="1"/>
  <c r="W579" i="1" s="1"/>
  <c r="T579" i="1"/>
  <c r="S579" i="1"/>
  <c r="H579" i="1"/>
  <c r="U578" i="1"/>
  <c r="V578" i="1" s="1"/>
  <c r="W578" i="1" s="1"/>
  <c r="T578" i="1"/>
  <c r="S578" i="1"/>
  <c r="H578" i="1"/>
  <c r="V577" i="1"/>
  <c r="W577" i="1" s="1"/>
  <c r="U577" i="1"/>
  <c r="T577" i="1"/>
  <c r="S577" i="1"/>
  <c r="H577" i="1"/>
  <c r="U576" i="1"/>
  <c r="V576" i="1" s="1"/>
  <c r="W576" i="1" s="1"/>
  <c r="T576" i="1"/>
  <c r="S576" i="1"/>
  <c r="H576" i="1"/>
  <c r="V575" i="1"/>
  <c r="W575" i="1" s="1"/>
  <c r="U575" i="1"/>
  <c r="T575" i="1"/>
  <c r="S575" i="1"/>
  <c r="H575" i="1"/>
  <c r="U574" i="1"/>
  <c r="V574" i="1" s="1"/>
  <c r="W574" i="1" s="1"/>
  <c r="T574" i="1"/>
  <c r="S574" i="1"/>
  <c r="H574" i="1"/>
  <c r="U573" i="1"/>
  <c r="V573" i="1" s="1"/>
  <c r="W573" i="1" s="1"/>
  <c r="T573" i="1"/>
  <c r="S573" i="1"/>
  <c r="H573" i="1"/>
  <c r="U572" i="1"/>
  <c r="V572" i="1" s="1"/>
  <c r="W572" i="1" s="1"/>
  <c r="T572" i="1"/>
  <c r="S572" i="1"/>
  <c r="H572" i="1"/>
  <c r="U571" i="1"/>
  <c r="V571" i="1" s="1"/>
  <c r="W571" i="1" s="1"/>
  <c r="T571" i="1"/>
  <c r="S571" i="1"/>
  <c r="H571" i="1"/>
  <c r="U570" i="1"/>
  <c r="V570" i="1" s="1"/>
  <c r="W570" i="1" s="1"/>
  <c r="T570" i="1"/>
  <c r="S570" i="1"/>
  <c r="H570" i="1"/>
  <c r="U569" i="1"/>
  <c r="V569" i="1" s="1"/>
  <c r="W569" i="1" s="1"/>
  <c r="T569" i="1"/>
  <c r="S569" i="1"/>
  <c r="H569" i="1"/>
  <c r="U568" i="1"/>
  <c r="V568" i="1" s="1"/>
  <c r="W568" i="1" s="1"/>
  <c r="T568" i="1"/>
  <c r="S568" i="1"/>
  <c r="H568" i="1"/>
  <c r="U567" i="1"/>
  <c r="T567" i="1"/>
  <c r="V567" i="1" s="1"/>
  <c r="W567" i="1" s="1"/>
  <c r="S567" i="1"/>
  <c r="H567" i="1"/>
  <c r="W566" i="1"/>
  <c r="U566" i="1"/>
  <c r="T566" i="1"/>
  <c r="S566" i="1"/>
  <c r="H566" i="1"/>
  <c r="U565" i="1"/>
  <c r="V565" i="1" s="1"/>
  <c r="W565" i="1" s="1"/>
  <c r="T565" i="1"/>
  <c r="S565" i="1"/>
  <c r="H565" i="1"/>
  <c r="U564" i="1"/>
  <c r="V564" i="1" s="1"/>
  <c r="W564" i="1" s="1"/>
  <c r="T564" i="1"/>
  <c r="S564" i="1"/>
  <c r="H564" i="1"/>
  <c r="W563" i="1"/>
  <c r="U563" i="1"/>
  <c r="T563" i="1"/>
  <c r="S563" i="1"/>
  <c r="H563" i="1"/>
  <c r="V562" i="1"/>
  <c r="W562" i="1" s="1"/>
  <c r="U562" i="1"/>
  <c r="T562" i="1"/>
  <c r="S562" i="1"/>
  <c r="H562" i="1"/>
  <c r="V561" i="1"/>
  <c r="W561" i="1" s="1"/>
  <c r="U561" i="1"/>
  <c r="T561" i="1"/>
  <c r="S561" i="1"/>
  <c r="H561" i="1"/>
  <c r="V560" i="1"/>
  <c r="W560" i="1" s="1"/>
  <c r="U560" i="1"/>
  <c r="T560" i="1"/>
  <c r="S560" i="1"/>
  <c r="H560" i="1"/>
  <c r="U559" i="1"/>
  <c r="V559" i="1" s="1"/>
  <c r="W559" i="1" s="1"/>
  <c r="T559" i="1"/>
  <c r="S559" i="1"/>
  <c r="H559" i="1"/>
  <c r="U558" i="1"/>
  <c r="V558" i="1" s="1"/>
  <c r="W558" i="1" s="1"/>
  <c r="T558" i="1"/>
  <c r="S558" i="1"/>
  <c r="H558" i="1"/>
  <c r="U557" i="1"/>
  <c r="V557" i="1" s="1"/>
  <c r="W557" i="1" s="1"/>
  <c r="T557" i="1"/>
  <c r="S557" i="1"/>
  <c r="H557" i="1"/>
  <c r="W556" i="1"/>
  <c r="V556" i="1"/>
  <c r="U556" i="1"/>
  <c r="T556" i="1"/>
  <c r="S556" i="1"/>
  <c r="H556" i="1"/>
  <c r="U555" i="1"/>
  <c r="V555" i="1" s="1"/>
  <c r="W555" i="1" s="1"/>
  <c r="T555" i="1"/>
  <c r="S555" i="1"/>
  <c r="H555" i="1"/>
  <c r="W554" i="1"/>
  <c r="U554" i="1"/>
  <c r="V554" i="1" s="1"/>
  <c r="T554" i="1"/>
  <c r="S554" i="1"/>
  <c r="H554" i="1"/>
  <c r="U553" i="1"/>
  <c r="V553" i="1" s="1"/>
  <c r="W553" i="1" s="1"/>
  <c r="T553" i="1"/>
  <c r="S553" i="1"/>
  <c r="H553" i="1"/>
  <c r="U552" i="1"/>
  <c r="V552" i="1" s="1"/>
  <c r="W552" i="1" s="1"/>
  <c r="T552" i="1"/>
  <c r="S552" i="1"/>
  <c r="H552" i="1"/>
  <c r="U551" i="1"/>
  <c r="V551" i="1" s="1"/>
  <c r="W551" i="1" s="1"/>
  <c r="T551" i="1"/>
  <c r="S551" i="1"/>
  <c r="H551" i="1"/>
  <c r="U550" i="1"/>
  <c r="V550" i="1" s="1"/>
  <c r="W550" i="1" s="1"/>
  <c r="T550" i="1"/>
  <c r="S550" i="1"/>
  <c r="H550" i="1"/>
  <c r="U549" i="1"/>
  <c r="V549" i="1" s="1"/>
  <c r="W549" i="1" s="1"/>
  <c r="T549" i="1"/>
  <c r="S549" i="1"/>
  <c r="H549" i="1"/>
  <c r="U548" i="1"/>
  <c r="V548" i="1" s="1"/>
  <c r="W548" i="1" s="1"/>
  <c r="T548" i="1"/>
  <c r="S548" i="1"/>
  <c r="H548" i="1"/>
  <c r="U547" i="1"/>
  <c r="V547" i="1" s="1"/>
  <c r="W547" i="1" s="1"/>
  <c r="T547" i="1"/>
  <c r="S547" i="1"/>
  <c r="H547" i="1"/>
  <c r="U546" i="1"/>
  <c r="V546" i="1" s="1"/>
  <c r="W546" i="1" s="1"/>
  <c r="T546" i="1"/>
  <c r="S546" i="1"/>
  <c r="H546" i="1"/>
  <c r="U545" i="1"/>
  <c r="V545" i="1" s="1"/>
  <c r="W545" i="1" s="1"/>
  <c r="T545" i="1"/>
  <c r="S545" i="1"/>
  <c r="H545" i="1"/>
  <c r="U544" i="1"/>
  <c r="V544" i="1" s="1"/>
  <c r="W544" i="1" s="1"/>
  <c r="T544" i="1"/>
  <c r="S544" i="1"/>
  <c r="H544" i="1"/>
  <c r="U543" i="1"/>
  <c r="V543" i="1" s="1"/>
  <c r="W543" i="1" s="1"/>
  <c r="T543" i="1"/>
  <c r="S543" i="1"/>
  <c r="H543" i="1"/>
  <c r="V542" i="1"/>
  <c r="W542" i="1" s="1"/>
  <c r="U542" i="1"/>
  <c r="T542" i="1"/>
  <c r="S542" i="1"/>
  <c r="H542" i="1"/>
  <c r="W541" i="1"/>
  <c r="V541" i="1"/>
  <c r="U541" i="1"/>
  <c r="T541" i="1"/>
  <c r="S541" i="1"/>
  <c r="H541" i="1"/>
  <c r="U540" i="1"/>
  <c r="V540" i="1" s="1"/>
  <c r="W540" i="1" s="1"/>
  <c r="T540" i="1"/>
  <c r="S540" i="1"/>
  <c r="H540" i="1"/>
  <c r="V539" i="1"/>
  <c r="W539" i="1" s="1"/>
  <c r="U539" i="1"/>
  <c r="T539" i="1"/>
  <c r="S539" i="1"/>
  <c r="H539" i="1"/>
  <c r="U538" i="1"/>
  <c r="V538" i="1" s="1"/>
  <c r="W538" i="1" s="1"/>
  <c r="T538" i="1"/>
  <c r="S538" i="1"/>
  <c r="H538" i="1"/>
  <c r="U537" i="1"/>
  <c r="V537" i="1" s="1"/>
  <c r="W537" i="1" s="1"/>
  <c r="T537" i="1"/>
  <c r="S537" i="1"/>
  <c r="H537" i="1"/>
  <c r="V536" i="1"/>
  <c r="W536" i="1" s="1"/>
  <c r="U536" i="1"/>
  <c r="T536" i="1"/>
  <c r="S536" i="1"/>
  <c r="H536" i="1"/>
  <c r="U535" i="1"/>
  <c r="V535" i="1" s="1"/>
  <c r="W535" i="1" s="1"/>
  <c r="T535" i="1"/>
  <c r="S535" i="1"/>
  <c r="H535" i="1"/>
  <c r="U534" i="1"/>
  <c r="V534" i="1" s="1"/>
  <c r="W534" i="1" s="1"/>
  <c r="T534" i="1"/>
  <c r="S534" i="1"/>
  <c r="H534" i="1"/>
  <c r="U533" i="1"/>
  <c r="V533" i="1" s="1"/>
  <c r="W533" i="1" s="1"/>
  <c r="T533" i="1"/>
  <c r="S533" i="1"/>
  <c r="H533" i="1"/>
  <c r="U532" i="1"/>
  <c r="V532" i="1" s="1"/>
  <c r="W532" i="1" s="1"/>
  <c r="T532" i="1"/>
  <c r="S532" i="1"/>
  <c r="H532" i="1"/>
  <c r="U531" i="1"/>
  <c r="V531" i="1" s="1"/>
  <c r="W531" i="1" s="1"/>
  <c r="T531" i="1"/>
  <c r="S531" i="1"/>
  <c r="H531" i="1"/>
  <c r="U530" i="1"/>
  <c r="V530" i="1" s="1"/>
  <c r="W530" i="1" s="1"/>
  <c r="T530" i="1"/>
  <c r="S530" i="1"/>
  <c r="H530" i="1"/>
  <c r="U529" i="1"/>
  <c r="V529" i="1" s="1"/>
  <c r="W529" i="1" s="1"/>
  <c r="T529" i="1"/>
  <c r="S529" i="1"/>
  <c r="H529" i="1"/>
  <c r="V528" i="1"/>
  <c r="W528" i="1" s="1"/>
  <c r="U528" i="1"/>
  <c r="T528" i="1"/>
  <c r="S528" i="1"/>
  <c r="H528" i="1"/>
  <c r="W527" i="1"/>
  <c r="V527" i="1"/>
  <c r="U527" i="1"/>
  <c r="T527" i="1"/>
  <c r="S527" i="1"/>
  <c r="H527" i="1"/>
  <c r="W526" i="1"/>
  <c r="U526" i="1"/>
  <c r="V526" i="1" s="1"/>
  <c r="T526" i="1"/>
  <c r="S526" i="1"/>
  <c r="H526" i="1"/>
  <c r="U525" i="1"/>
  <c r="V525" i="1" s="1"/>
  <c r="W525" i="1" s="1"/>
  <c r="T525" i="1"/>
  <c r="S525" i="1"/>
  <c r="H525" i="1"/>
  <c r="V524" i="1"/>
  <c r="W524" i="1" s="1"/>
  <c r="U524" i="1"/>
  <c r="T524" i="1"/>
  <c r="S524" i="1"/>
  <c r="H524" i="1"/>
  <c r="U523" i="1"/>
  <c r="V523" i="1" s="1"/>
  <c r="W523" i="1" s="1"/>
  <c r="T523" i="1"/>
  <c r="S523" i="1"/>
  <c r="H523" i="1"/>
  <c r="U522" i="1"/>
  <c r="V522" i="1" s="1"/>
  <c r="W522" i="1" s="1"/>
  <c r="T522" i="1"/>
  <c r="S522" i="1"/>
  <c r="H522" i="1"/>
  <c r="U521" i="1"/>
  <c r="V521" i="1" s="1"/>
  <c r="W521" i="1" s="1"/>
  <c r="T521" i="1"/>
  <c r="S521" i="1"/>
  <c r="H521" i="1"/>
  <c r="U520" i="1"/>
  <c r="V520" i="1" s="1"/>
  <c r="W520" i="1" s="1"/>
  <c r="T520" i="1"/>
  <c r="S520" i="1"/>
  <c r="H520" i="1"/>
  <c r="U519" i="1"/>
  <c r="V519" i="1" s="1"/>
  <c r="W519" i="1" s="1"/>
  <c r="T519" i="1"/>
  <c r="S519" i="1"/>
  <c r="H519" i="1"/>
  <c r="U518" i="1"/>
  <c r="V518" i="1" s="1"/>
  <c r="W518" i="1" s="1"/>
  <c r="T518" i="1"/>
  <c r="S518" i="1"/>
  <c r="H518" i="1"/>
  <c r="U517" i="1"/>
  <c r="V517" i="1" s="1"/>
  <c r="W517" i="1" s="1"/>
  <c r="T517" i="1"/>
  <c r="S517" i="1"/>
  <c r="H517" i="1"/>
  <c r="U516" i="1"/>
  <c r="V516" i="1" s="1"/>
  <c r="W516" i="1" s="1"/>
  <c r="T516" i="1"/>
  <c r="S516" i="1"/>
  <c r="H516" i="1"/>
  <c r="U515" i="1"/>
  <c r="V515" i="1" s="1"/>
  <c r="W515" i="1" s="1"/>
  <c r="T515" i="1"/>
  <c r="S515" i="1"/>
  <c r="H515" i="1"/>
  <c r="V514" i="1"/>
  <c r="W514" i="1" s="1"/>
  <c r="U514" i="1"/>
  <c r="T514" i="1"/>
  <c r="S514" i="1"/>
  <c r="H514" i="1"/>
  <c r="U513" i="1"/>
  <c r="V513" i="1" s="1"/>
  <c r="W513" i="1" s="1"/>
  <c r="T513" i="1"/>
  <c r="S513" i="1"/>
  <c r="H513" i="1"/>
  <c r="U512" i="1"/>
  <c r="V512" i="1" s="1"/>
  <c r="W512" i="1" s="1"/>
  <c r="T512" i="1"/>
  <c r="S512" i="1"/>
  <c r="H512" i="1"/>
  <c r="V511" i="1"/>
  <c r="W511" i="1" s="1"/>
  <c r="U511" i="1"/>
  <c r="T511" i="1"/>
  <c r="S511" i="1"/>
  <c r="H511" i="1"/>
  <c r="U510" i="1"/>
  <c r="T510" i="1"/>
  <c r="V510" i="1" s="1"/>
  <c r="W510" i="1" s="1"/>
  <c r="S510" i="1"/>
  <c r="H510" i="1"/>
  <c r="U509" i="1"/>
  <c r="V509" i="1" s="1"/>
  <c r="W509" i="1" s="1"/>
  <c r="T509" i="1"/>
  <c r="S509" i="1"/>
  <c r="H509" i="1"/>
  <c r="U508" i="1"/>
  <c r="V508" i="1" s="1"/>
  <c r="W508" i="1" s="1"/>
  <c r="T508" i="1"/>
  <c r="S508" i="1"/>
  <c r="H508" i="1"/>
  <c r="U507" i="1"/>
  <c r="V507" i="1" s="1"/>
  <c r="W507" i="1" s="1"/>
  <c r="T507" i="1"/>
  <c r="S507" i="1"/>
  <c r="H507" i="1"/>
  <c r="U506" i="1"/>
  <c r="V506" i="1" s="1"/>
  <c r="W506" i="1" s="1"/>
  <c r="T506" i="1"/>
  <c r="S506" i="1"/>
  <c r="H506" i="1"/>
  <c r="U505" i="1"/>
  <c r="V505" i="1" s="1"/>
  <c r="W505" i="1" s="1"/>
  <c r="T505" i="1"/>
  <c r="S505" i="1"/>
  <c r="H505" i="1"/>
  <c r="U504" i="1"/>
  <c r="V504" i="1" s="1"/>
  <c r="W504" i="1" s="1"/>
  <c r="T504" i="1"/>
  <c r="S504" i="1"/>
  <c r="H504" i="1"/>
  <c r="U503" i="1"/>
  <c r="V503" i="1" s="1"/>
  <c r="W503" i="1" s="1"/>
  <c r="T503" i="1"/>
  <c r="S503" i="1"/>
  <c r="H503" i="1"/>
  <c r="W502" i="1"/>
  <c r="U502" i="1"/>
  <c r="T502" i="1"/>
  <c r="S502" i="1"/>
  <c r="H502" i="1"/>
  <c r="W501" i="1"/>
  <c r="U501" i="1"/>
  <c r="T501" i="1"/>
  <c r="S501" i="1"/>
  <c r="H501" i="1"/>
  <c r="W500" i="1"/>
  <c r="U500" i="1"/>
  <c r="T500" i="1"/>
  <c r="S500" i="1"/>
  <c r="H500" i="1"/>
  <c r="W499" i="1"/>
  <c r="U499" i="1"/>
  <c r="T499" i="1"/>
  <c r="S499" i="1"/>
  <c r="H499" i="1"/>
  <c r="W498" i="1"/>
  <c r="U498" i="1"/>
  <c r="T498" i="1"/>
  <c r="S498" i="1"/>
  <c r="H498" i="1"/>
  <c r="W497" i="1"/>
  <c r="U497" i="1"/>
  <c r="T497" i="1"/>
  <c r="S497" i="1"/>
  <c r="H497" i="1"/>
  <c r="W496" i="1"/>
  <c r="U496" i="1"/>
  <c r="T496" i="1"/>
  <c r="S496" i="1"/>
  <c r="H496" i="1"/>
  <c r="W495" i="1"/>
  <c r="U495" i="1"/>
  <c r="T495" i="1"/>
  <c r="S495" i="1"/>
  <c r="H495" i="1"/>
  <c r="W494" i="1"/>
  <c r="U494" i="1"/>
  <c r="T494" i="1"/>
  <c r="S494" i="1"/>
  <c r="H494" i="1"/>
  <c r="W493" i="1"/>
  <c r="U493" i="1"/>
  <c r="T493" i="1"/>
  <c r="S493" i="1"/>
  <c r="H493" i="1"/>
  <c r="W492" i="1"/>
  <c r="U492" i="1"/>
  <c r="T492" i="1"/>
  <c r="S492" i="1"/>
  <c r="H492" i="1"/>
  <c r="W491" i="1"/>
  <c r="U491" i="1"/>
  <c r="T491" i="1"/>
  <c r="S491" i="1"/>
  <c r="H491" i="1"/>
  <c r="W490" i="1"/>
  <c r="U490" i="1"/>
  <c r="T490" i="1"/>
  <c r="S490" i="1"/>
  <c r="H490" i="1"/>
  <c r="W489" i="1"/>
  <c r="U489" i="1"/>
  <c r="T489" i="1"/>
  <c r="S489" i="1"/>
  <c r="H489" i="1"/>
  <c r="W488" i="1"/>
  <c r="U488" i="1"/>
  <c r="T488" i="1"/>
  <c r="S488" i="1"/>
  <c r="H488" i="1"/>
  <c r="W487" i="1"/>
  <c r="U487" i="1"/>
  <c r="T487" i="1"/>
  <c r="S487" i="1"/>
  <c r="H487" i="1"/>
  <c r="W486" i="1"/>
  <c r="U486" i="1"/>
  <c r="T486" i="1"/>
  <c r="S486" i="1"/>
  <c r="H486" i="1"/>
  <c r="U485" i="1"/>
  <c r="V485" i="1" s="1"/>
  <c r="W485" i="1" s="1"/>
  <c r="T485" i="1"/>
  <c r="S485" i="1"/>
  <c r="H485" i="1"/>
  <c r="V484" i="1"/>
  <c r="W484" i="1" s="1"/>
  <c r="U484" i="1"/>
  <c r="T484" i="1"/>
  <c r="S484" i="1"/>
  <c r="H484" i="1"/>
  <c r="W483" i="1"/>
  <c r="V483" i="1"/>
  <c r="U483" i="1"/>
  <c r="T483" i="1"/>
  <c r="S483" i="1"/>
  <c r="H483" i="1"/>
  <c r="V482" i="1"/>
  <c r="W482" i="1" s="1"/>
  <c r="U482" i="1"/>
  <c r="T482" i="1"/>
  <c r="S482" i="1"/>
  <c r="H482" i="1"/>
  <c r="U481" i="1"/>
  <c r="V481" i="1" s="1"/>
  <c r="W481" i="1" s="1"/>
  <c r="T481" i="1"/>
  <c r="S481" i="1"/>
  <c r="H481" i="1"/>
  <c r="U480" i="1"/>
  <c r="V480" i="1" s="1"/>
  <c r="W480" i="1" s="1"/>
  <c r="T480" i="1"/>
  <c r="S480" i="1"/>
  <c r="H480" i="1"/>
  <c r="V479" i="1"/>
  <c r="W479" i="1" s="1"/>
  <c r="U479" i="1"/>
  <c r="T479" i="1"/>
  <c r="S479" i="1"/>
  <c r="H479" i="1"/>
  <c r="W478" i="1"/>
  <c r="U478" i="1"/>
  <c r="T478" i="1"/>
  <c r="S478" i="1"/>
  <c r="H478" i="1"/>
  <c r="W477" i="1"/>
  <c r="U477" i="1"/>
  <c r="T477" i="1"/>
  <c r="S477" i="1"/>
  <c r="H477" i="1"/>
  <c r="W476" i="1"/>
  <c r="U476" i="1"/>
  <c r="T476" i="1"/>
  <c r="S476" i="1"/>
  <c r="H476" i="1"/>
  <c r="U475" i="1"/>
  <c r="V475" i="1" s="1"/>
  <c r="W475" i="1" s="1"/>
  <c r="T475" i="1"/>
  <c r="S475" i="1"/>
  <c r="H475" i="1"/>
  <c r="U474" i="1"/>
  <c r="V474" i="1" s="1"/>
  <c r="W474" i="1" s="1"/>
  <c r="T474" i="1"/>
  <c r="S474" i="1"/>
  <c r="H474" i="1"/>
  <c r="U473" i="1"/>
  <c r="V473" i="1" s="1"/>
  <c r="W473" i="1" s="1"/>
  <c r="T473" i="1"/>
  <c r="S473" i="1"/>
  <c r="H473" i="1"/>
  <c r="U472" i="1"/>
  <c r="V472" i="1" s="1"/>
  <c r="W472" i="1" s="1"/>
  <c r="T472" i="1"/>
  <c r="S472" i="1"/>
  <c r="H472" i="1"/>
  <c r="U471" i="1"/>
  <c r="V471" i="1" s="1"/>
  <c r="W471" i="1" s="1"/>
  <c r="T471" i="1"/>
  <c r="S471" i="1"/>
  <c r="H471" i="1"/>
  <c r="W470" i="1"/>
  <c r="U470" i="1"/>
  <c r="T470" i="1"/>
  <c r="S470" i="1"/>
  <c r="H470" i="1"/>
  <c r="W469" i="1"/>
  <c r="U469" i="1"/>
  <c r="T469" i="1"/>
  <c r="S469" i="1"/>
  <c r="H469" i="1"/>
  <c r="W468" i="1"/>
  <c r="U468" i="1"/>
  <c r="T468" i="1"/>
  <c r="S468" i="1"/>
  <c r="H468" i="1"/>
  <c r="W467" i="1"/>
  <c r="U467" i="1"/>
  <c r="T467" i="1"/>
  <c r="S467" i="1"/>
  <c r="H467" i="1"/>
  <c r="W466" i="1"/>
  <c r="U466" i="1"/>
  <c r="T466" i="1"/>
  <c r="S466" i="1"/>
  <c r="H466" i="1"/>
  <c r="W465" i="1"/>
  <c r="U465" i="1"/>
  <c r="T465" i="1"/>
  <c r="S465" i="1"/>
  <c r="H465" i="1"/>
  <c r="W464" i="1"/>
  <c r="U464" i="1"/>
  <c r="T464" i="1"/>
  <c r="S464" i="1"/>
  <c r="H464" i="1"/>
  <c r="W463" i="1"/>
  <c r="U463" i="1"/>
  <c r="T463" i="1"/>
  <c r="S463" i="1"/>
  <c r="H463" i="1"/>
  <c r="W462" i="1"/>
  <c r="U462" i="1"/>
  <c r="T462" i="1"/>
  <c r="S462" i="1"/>
  <c r="H462" i="1"/>
  <c r="W461" i="1"/>
  <c r="U461" i="1"/>
  <c r="T461" i="1"/>
  <c r="S461" i="1"/>
  <c r="H461" i="1"/>
  <c r="W460" i="1"/>
  <c r="U460" i="1"/>
  <c r="T460" i="1"/>
  <c r="S460" i="1"/>
  <c r="H460" i="1"/>
  <c r="W459" i="1"/>
  <c r="U459" i="1"/>
  <c r="T459" i="1"/>
  <c r="S459" i="1"/>
  <c r="H459" i="1"/>
  <c r="W458" i="1"/>
  <c r="U458" i="1"/>
  <c r="T458" i="1"/>
  <c r="S458" i="1"/>
  <c r="H458" i="1"/>
  <c r="W457" i="1"/>
  <c r="U457" i="1"/>
  <c r="T457" i="1"/>
  <c r="S457" i="1"/>
  <c r="H457" i="1"/>
  <c r="W456" i="1"/>
  <c r="U456" i="1"/>
  <c r="T456" i="1"/>
  <c r="S456" i="1"/>
  <c r="H456" i="1"/>
  <c r="W455" i="1"/>
  <c r="U455" i="1"/>
  <c r="T455" i="1"/>
  <c r="S455" i="1"/>
  <c r="H455" i="1"/>
  <c r="W454" i="1"/>
  <c r="U454" i="1"/>
  <c r="T454" i="1"/>
  <c r="S454" i="1"/>
  <c r="H454" i="1"/>
  <c r="W453" i="1"/>
  <c r="U453" i="1"/>
  <c r="T453" i="1"/>
  <c r="S453" i="1"/>
  <c r="H453" i="1"/>
  <c r="W452" i="1"/>
  <c r="U452" i="1"/>
  <c r="T452" i="1"/>
  <c r="S452" i="1"/>
  <c r="H452" i="1"/>
  <c r="W451" i="1"/>
  <c r="U451" i="1"/>
  <c r="T451" i="1"/>
  <c r="S451" i="1"/>
  <c r="H451" i="1"/>
  <c r="W450" i="1"/>
  <c r="U450" i="1"/>
  <c r="T450" i="1"/>
  <c r="S450" i="1"/>
  <c r="H450" i="1"/>
  <c r="W449" i="1"/>
  <c r="U449" i="1"/>
  <c r="T449" i="1"/>
  <c r="S449" i="1"/>
  <c r="H449" i="1"/>
  <c r="W448" i="1"/>
  <c r="U448" i="1"/>
  <c r="T448" i="1"/>
  <c r="S448" i="1"/>
  <c r="H448" i="1"/>
  <c r="W447" i="1"/>
  <c r="U447" i="1"/>
  <c r="T447" i="1"/>
  <c r="S447" i="1"/>
  <c r="H447" i="1"/>
  <c r="W446" i="1"/>
  <c r="U446" i="1"/>
  <c r="T446" i="1"/>
  <c r="S446" i="1"/>
  <c r="H446" i="1"/>
  <c r="W445" i="1"/>
  <c r="U445" i="1"/>
  <c r="T445" i="1"/>
  <c r="S445" i="1"/>
  <c r="H445" i="1"/>
  <c r="W444" i="1"/>
  <c r="U444" i="1"/>
  <c r="T444" i="1"/>
  <c r="S444" i="1"/>
  <c r="H444" i="1"/>
  <c r="W443" i="1"/>
  <c r="U443" i="1"/>
  <c r="T443" i="1"/>
  <c r="S443" i="1"/>
  <c r="H443" i="1"/>
  <c r="W442" i="1"/>
  <c r="U442" i="1"/>
  <c r="T442" i="1"/>
  <c r="S442" i="1"/>
  <c r="H442" i="1"/>
  <c r="W441" i="1"/>
  <c r="U441" i="1"/>
  <c r="T441" i="1"/>
  <c r="S441" i="1"/>
  <c r="H441" i="1"/>
  <c r="W440" i="1"/>
  <c r="U440" i="1"/>
  <c r="T440" i="1"/>
  <c r="S440" i="1"/>
  <c r="H440" i="1"/>
  <c r="U439" i="1"/>
  <c r="V439" i="1" s="1"/>
  <c r="W439" i="1" s="1"/>
  <c r="T439" i="1"/>
  <c r="S439" i="1"/>
  <c r="H439" i="1"/>
  <c r="U438" i="1"/>
  <c r="V438" i="1" s="1"/>
  <c r="W438" i="1" s="1"/>
  <c r="T438" i="1"/>
  <c r="S438" i="1"/>
  <c r="H438" i="1"/>
  <c r="U437" i="1"/>
  <c r="V437" i="1" s="1"/>
  <c r="W437" i="1" s="1"/>
  <c r="T437" i="1"/>
  <c r="S437" i="1"/>
  <c r="H437" i="1"/>
  <c r="U436" i="1"/>
  <c r="V436" i="1" s="1"/>
  <c r="W436" i="1" s="1"/>
  <c r="T436" i="1"/>
  <c r="S436" i="1"/>
  <c r="H436" i="1"/>
  <c r="U435" i="1"/>
  <c r="V435" i="1" s="1"/>
  <c r="W435" i="1" s="1"/>
  <c r="T435" i="1"/>
  <c r="S435" i="1"/>
  <c r="H435" i="1"/>
  <c r="U434" i="1"/>
  <c r="V434" i="1" s="1"/>
  <c r="W434" i="1" s="1"/>
  <c r="T434" i="1"/>
  <c r="S434" i="1"/>
  <c r="H434" i="1"/>
  <c r="U433" i="1"/>
  <c r="V433" i="1" s="1"/>
  <c r="W433" i="1" s="1"/>
  <c r="T433" i="1"/>
  <c r="S433" i="1"/>
  <c r="H433" i="1"/>
  <c r="U432" i="1"/>
  <c r="V432" i="1" s="1"/>
  <c r="W432" i="1" s="1"/>
  <c r="T432" i="1"/>
  <c r="S432" i="1"/>
  <c r="H432" i="1"/>
  <c r="U431" i="1"/>
  <c r="V431" i="1" s="1"/>
  <c r="W431" i="1" s="1"/>
  <c r="T431" i="1"/>
  <c r="S431" i="1"/>
  <c r="H431" i="1"/>
  <c r="U430" i="1"/>
  <c r="V430" i="1" s="1"/>
  <c r="W430" i="1" s="1"/>
  <c r="T430" i="1"/>
  <c r="S430" i="1"/>
  <c r="H430" i="1"/>
  <c r="V429" i="1"/>
  <c r="W429" i="1" s="1"/>
  <c r="U429" i="1"/>
  <c r="T429" i="1"/>
  <c r="S429" i="1"/>
  <c r="H429" i="1"/>
  <c r="U428" i="1"/>
  <c r="V428" i="1" s="1"/>
  <c r="W428" i="1" s="1"/>
  <c r="T428" i="1"/>
  <c r="S428" i="1"/>
  <c r="H428" i="1"/>
  <c r="U427" i="1"/>
  <c r="V427" i="1" s="1"/>
  <c r="W427" i="1" s="1"/>
  <c r="T427" i="1"/>
  <c r="S427" i="1"/>
  <c r="H427" i="1"/>
  <c r="W426" i="1"/>
  <c r="V426" i="1"/>
  <c r="U426" i="1"/>
  <c r="T426" i="1"/>
  <c r="S426" i="1"/>
  <c r="H426" i="1"/>
  <c r="U425" i="1"/>
  <c r="T425" i="1"/>
  <c r="V425" i="1" s="1"/>
  <c r="W425" i="1" s="1"/>
  <c r="S425" i="1"/>
  <c r="H425" i="1"/>
  <c r="U424" i="1"/>
  <c r="T424" i="1"/>
  <c r="S424" i="1"/>
  <c r="H424" i="1"/>
  <c r="U423" i="1"/>
  <c r="V423" i="1" s="1"/>
  <c r="W423" i="1" s="1"/>
  <c r="T423" i="1"/>
  <c r="S423" i="1"/>
  <c r="H423" i="1"/>
  <c r="U422" i="1"/>
  <c r="V422" i="1" s="1"/>
  <c r="W422" i="1" s="1"/>
  <c r="T422" i="1"/>
  <c r="S422" i="1"/>
  <c r="H422" i="1"/>
  <c r="U421" i="1"/>
  <c r="V421" i="1" s="1"/>
  <c r="W421" i="1" s="1"/>
  <c r="T421" i="1"/>
  <c r="S421" i="1"/>
  <c r="H421" i="1"/>
  <c r="U420" i="1"/>
  <c r="V420" i="1" s="1"/>
  <c r="W420" i="1" s="1"/>
  <c r="T420" i="1"/>
  <c r="S420" i="1"/>
  <c r="H420" i="1"/>
  <c r="U419" i="1"/>
  <c r="V419" i="1" s="1"/>
  <c r="W419" i="1" s="1"/>
  <c r="T419" i="1"/>
  <c r="S419" i="1"/>
  <c r="H419" i="1"/>
  <c r="U418" i="1"/>
  <c r="V418" i="1" s="1"/>
  <c r="W418" i="1" s="1"/>
  <c r="T418" i="1"/>
  <c r="S418" i="1"/>
  <c r="H418" i="1"/>
  <c r="V417" i="1"/>
  <c r="W417" i="1" s="1"/>
  <c r="U417" i="1"/>
  <c r="T417" i="1"/>
  <c r="S417" i="1"/>
  <c r="H417" i="1"/>
  <c r="U416" i="1"/>
  <c r="V416" i="1" s="1"/>
  <c r="W416" i="1" s="1"/>
  <c r="T416" i="1"/>
  <c r="S416" i="1"/>
  <c r="H416" i="1"/>
  <c r="W415" i="1"/>
  <c r="V415" i="1"/>
  <c r="U415" i="1"/>
  <c r="T415" i="1"/>
  <c r="S415" i="1"/>
  <c r="H415" i="1"/>
  <c r="U414" i="1"/>
  <c r="V414" i="1" s="1"/>
  <c r="W414" i="1" s="1"/>
  <c r="T414" i="1"/>
  <c r="S414" i="1"/>
  <c r="H414" i="1"/>
  <c r="V413" i="1"/>
  <c r="W413" i="1" s="1"/>
  <c r="U413" i="1"/>
  <c r="T413" i="1"/>
  <c r="S413" i="1"/>
  <c r="H413" i="1"/>
  <c r="W412" i="1"/>
  <c r="V412" i="1"/>
  <c r="U412" i="1"/>
  <c r="T412" i="1"/>
  <c r="S412" i="1"/>
  <c r="H412" i="1"/>
  <c r="U411" i="1"/>
  <c r="V411" i="1" s="1"/>
  <c r="W411" i="1" s="1"/>
  <c r="T411" i="1"/>
  <c r="S411" i="1"/>
  <c r="H411" i="1"/>
  <c r="U410" i="1"/>
  <c r="V410" i="1" s="1"/>
  <c r="W410" i="1" s="1"/>
  <c r="T410" i="1"/>
  <c r="S410" i="1"/>
  <c r="H410" i="1"/>
  <c r="U409" i="1"/>
  <c r="V409" i="1" s="1"/>
  <c r="W409" i="1" s="1"/>
  <c r="T409" i="1"/>
  <c r="S409" i="1"/>
  <c r="H409" i="1"/>
  <c r="W408" i="1"/>
  <c r="V408" i="1"/>
  <c r="U408" i="1"/>
  <c r="T408" i="1"/>
  <c r="S408" i="1"/>
  <c r="H408" i="1"/>
  <c r="U407" i="1"/>
  <c r="V407" i="1" s="1"/>
  <c r="W407" i="1" s="1"/>
  <c r="T407" i="1"/>
  <c r="S407" i="1"/>
  <c r="H407" i="1"/>
  <c r="U406" i="1"/>
  <c r="V406" i="1" s="1"/>
  <c r="W406" i="1" s="1"/>
  <c r="T406" i="1"/>
  <c r="S406" i="1"/>
  <c r="H406" i="1"/>
  <c r="V405" i="1"/>
  <c r="W405" i="1" s="1"/>
  <c r="U405" i="1"/>
  <c r="T405" i="1"/>
  <c r="S405" i="1"/>
  <c r="H405" i="1"/>
  <c r="U404" i="1"/>
  <c r="V404" i="1" s="1"/>
  <c r="W404" i="1" s="1"/>
  <c r="T404" i="1"/>
  <c r="S404" i="1"/>
  <c r="H404" i="1"/>
  <c r="U403" i="1"/>
  <c r="V403" i="1" s="1"/>
  <c r="W403" i="1" s="1"/>
  <c r="T403" i="1"/>
  <c r="S403" i="1"/>
  <c r="H403" i="1"/>
  <c r="U402" i="1"/>
  <c r="V402" i="1" s="1"/>
  <c r="W402" i="1" s="1"/>
  <c r="T402" i="1"/>
  <c r="S402" i="1"/>
  <c r="H402" i="1"/>
  <c r="V401" i="1"/>
  <c r="W401" i="1" s="1"/>
  <c r="U401" i="1"/>
  <c r="T401" i="1"/>
  <c r="S401" i="1"/>
  <c r="H401" i="1"/>
  <c r="W400" i="1"/>
  <c r="V400" i="1"/>
  <c r="U400" i="1"/>
  <c r="T400" i="1"/>
  <c r="S400" i="1"/>
  <c r="H400" i="1"/>
  <c r="U399" i="1"/>
  <c r="V399" i="1" s="1"/>
  <c r="W399" i="1" s="1"/>
  <c r="T399" i="1"/>
  <c r="S399" i="1"/>
  <c r="H399" i="1"/>
  <c r="W398" i="1"/>
  <c r="V398" i="1"/>
  <c r="U398" i="1"/>
  <c r="T398" i="1"/>
  <c r="S398" i="1"/>
  <c r="H398" i="1"/>
  <c r="U397" i="1"/>
  <c r="V397" i="1" s="1"/>
  <c r="W397" i="1" s="1"/>
  <c r="T397" i="1"/>
  <c r="S397" i="1"/>
  <c r="H397" i="1"/>
  <c r="U396" i="1"/>
  <c r="V396" i="1" s="1"/>
  <c r="W396" i="1" s="1"/>
  <c r="T396" i="1"/>
  <c r="S396" i="1"/>
  <c r="H396" i="1"/>
  <c r="W395" i="1"/>
  <c r="V395" i="1"/>
  <c r="U395" i="1"/>
  <c r="T395" i="1"/>
  <c r="S395" i="1"/>
  <c r="H395" i="1"/>
  <c r="U394" i="1"/>
  <c r="T394" i="1"/>
  <c r="V394" i="1" s="1"/>
  <c r="W394" i="1" s="1"/>
  <c r="S394" i="1"/>
  <c r="H394" i="1"/>
  <c r="U393" i="1"/>
  <c r="V393" i="1" s="1"/>
  <c r="W393" i="1" s="1"/>
  <c r="T393" i="1"/>
  <c r="S393" i="1"/>
  <c r="H393" i="1"/>
  <c r="U392" i="1"/>
  <c r="V392" i="1" s="1"/>
  <c r="W392" i="1" s="1"/>
  <c r="T392" i="1"/>
  <c r="S392" i="1"/>
  <c r="H392" i="1"/>
  <c r="U391" i="1"/>
  <c r="V391" i="1" s="1"/>
  <c r="W391" i="1" s="1"/>
  <c r="T391" i="1"/>
  <c r="S391" i="1"/>
  <c r="H391" i="1"/>
  <c r="W390" i="1"/>
  <c r="V390" i="1"/>
  <c r="U390" i="1"/>
  <c r="T390" i="1"/>
  <c r="S390" i="1"/>
  <c r="H390" i="1"/>
  <c r="U389" i="1"/>
  <c r="V389" i="1" s="1"/>
  <c r="W389" i="1" s="1"/>
  <c r="T389" i="1"/>
  <c r="S389" i="1"/>
  <c r="H389" i="1"/>
  <c r="V388" i="1"/>
  <c r="W388" i="1" s="1"/>
  <c r="U388" i="1"/>
  <c r="T388" i="1"/>
  <c r="S388" i="1"/>
  <c r="H388" i="1"/>
  <c r="V387" i="1"/>
  <c r="W387" i="1" s="1"/>
  <c r="U387" i="1"/>
  <c r="T387" i="1"/>
  <c r="S387" i="1"/>
  <c r="H387" i="1"/>
  <c r="U386" i="1"/>
  <c r="V386" i="1" s="1"/>
  <c r="W386" i="1" s="1"/>
  <c r="T386" i="1"/>
  <c r="S386" i="1"/>
  <c r="H386" i="1"/>
  <c r="U385" i="1"/>
  <c r="V385" i="1" s="1"/>
  <c r="W385" i="1" s="1"/>
  <c r="T385" i="1"/>
  <c r="S385" i="1"/>
  <c r="H385" i="1"/>
  <c r="W384" i="1"/>
  <c r="V384" i="1"/>
  <c r="U384" i="1"/>
  <c r="T384" i="1"/>
  <c r="S384" i="1"/>
  <c r="H384" i="1"/>
  <c r="U383" i="1"/>
  <c r="V383" i="1" s="1"/>
  <c r="W383" i="1" s="1"/>
  <c r="T383" i="1"/>
  <c r="S383" i="1"/>
  <c r="H383" i="1"/>
  <c r="U382" i="1"/>
  <c r="T382" i="1"/>
  <c r="V382" i="1" s="1"/>
  <c r="W382" i="1" s="1"/>
  <c r="S382" i="1"/>
  <c r="H382" i="1"/>
  <c r="U381" i="1"/>
  <c r="T381" i="1"/>
  <c r="V381" i="1" s="1"/>
  <c r="W381" i="1" s="1"/>
  <c r="S381" i="1"/>
  <c r="H381" i="1"/>
  <c r="U380" i="1"/>
  <c r="T380" i="1"/>
  <c r="V380" i="1" s="1"/>
  <c r="W380" i="1" s="1"/>
  <c r="S380" i="1"/>
  <c r="H380" i="1"/>
  <c r="U379" i="1"/>
  <c r="V379" i="1" s="1"/>
  <c r="W379" i="1" s="1"/>
  <c r="T379" i="1"/>
  <c r="S379" i="1"/>
  <c r="H379" i="1"/>
  <c r="V378" i="1"/>
  <c r="W378" i="1" s="1"/>
  <c r="U378" i="1"/>
  <c r="T378" i="1"/>
  <c r="S378" i="1"/>
  <c r="H378" i="1"/>
  <c r="U377" i="1"/>
  <c r="V377" i="1" s="1"/>
  <c r="W377" i="1" s="1"/>
  <c r="T377" i="1"/>
  <c r="S377" i="1"/>
  <c r="H377" i="1"/>
  <c r="U376" i="1"/>
  <c r="V376" i="1" s="1"/>
  <c r="W376" i="1" s="1"/>
  <c r="T376" i="1"/>
  <c r="S376" i="1"/>
  <c r="H376" i="1"/>
  <c r="W375" i="1"/>
  <c r="V375" i="1"/>
  <c r="U375" i="1"/>
  <c r="T375" i="1"/>
  <c r="S375" i="1"/>
  <c r="H375" i="1"/>
  <c r="U374" i="1"/>
  <c r="V374" i="1" s="1"/>
  <c r="W374" i="1" s="1"/>
  <c r="T374" i="1"/>
  <c r="S374" i="1"/>
  <c r="H374" i="1"/>
  <c r="W373" i="1"/>
  <c r="V373" i="1"/>
  <c r="U373" i="1"/>
  <c r="T373" i="1"/>
  <c r="S373" i="1"/>
  <c r="H373" i="1"/>
  <c r="U372" i="1"/>
  <c r="V372" i="1" s="1"/>
  <c r="W372" i="1" s="1"/>
  <c r="T372" i="1"/>
  <c r="S372" i="1"/>
  <c r="H372" i="1"/>
  <c r="U371" i="1"/>
  <c r="V371" i="1" s="1"/>
  <c r="W371" i="1" s="1"/>
  <c r="T371" i="1"/>
  <c r="S371" i="1"/>
  <c r="H371" i="1"/>
  <c r="W370" i="1"/>
  <c r="V370" i="1"/>
  <c r="U370" i="1"/>
  <c r="T370" i="1"/>
  <c r="S370" i="1"/>
  <c r="H370" i="1"/>
  <c r="U369" i="1"/>
  <c r="V369" i="1" s="1"/>
  <c r="W369" i="1" s="1"/>
  <c r="T369" i="1"/>
  <c r="S369" i="1"/>
  <c r="H369" i="1"/>
  <c r="U368" i="1"/>
  <c r="V368" i="1" s="1"/>
  <c r="W368" i="1" s="1"/>
  <c r="T368" i="1"/>
  <c r="S368" i="1"/>
  <c r="H368" i="1"/>
  <c r="U367" i="1"/>
  <c r="V367" i="1" s="1"/>
  <c r="W367" i="1" s="1"/>
  <c r="T367" i="1"/>
  <c r="S367" i="1"/>
  <c r="H367" i="1"/>
  <c r="U366" i="1"/>
  <c r="V366" i="1" s="1"/>
  <c r="W366" i="1" s="1"/>
  <c r="T366" i="1"/>
  <c r="S366" i="1"/>
  <c r="H366" i="1"/>
  <c r="U365" i="1"/>
  <c r="V365" i="1" s="1"/>
  <c r="W365" i="1" s="1"/>
  <c r="T365" i="1"/>
  <c r="S365" i="1"/>
  <c r="H365" i="1"/>
  <c r="U364" i="1"/>
  <c r="V364" i="1" s="1"/>
  <c r="W364" i="1" s="1"/>
  <c r="T364" i="1"/>
  <c r="S364" i="1"/>
  <c r="H364" i="1"/>
  <c r="V363" i="1"/>
  <c r="W363" i="1" s="1"/>
  <c r="U363" i="1"/>
  <c r="T363" i="1"/>
  <c r="S363" i="1"/>
  <c r="H363" i="1"/>
  <c r="U362" i="1"/>
  <c r="V362" i="1" s="1"/>
  <c r="W362" i="1" s="1"/>
  <c r="T362" i="1"/>
  <c r="S362" i="1"/>
  <c r="H362" i="1"/>
  <c r="U361" i="1"/>
  <c r="V361" i="1" s="1"/>
  <c r="W361" i="1" s="1"/>
  <c r="T361" i="1"/>
  <c r="S361" i="1"/>
  <c r="H361" i="1"/>
  <c r="U360" i="1"/>
  <c r="T360" i="1"/>
  <c r="S360" i="1"/>
  <c r="H360" i="1"/>
  <c r="W359" i="1"/>
  <c r="V359" i="1"/>
  <c r="U359" i="1"/>
  <c r="T359" i="1"/>
  <c r="S359" i="1"/>
  <c r="H359" i="1"/>
  <c r="U358" i="1"/>
  <c r="V358" i="1" s="1"/>
  <c r="W358" i="1" s="1"/>
  <c r="T358" i="1"/>
  <c r="S358" i="1"/>
  <c r="H358" i="1"/>
  <c r="U357" i="1"/>
  <c r="V357" i="1" s="1"/>
  <c r="W357" i="1" s="1"/>
  <c r="T357" i="1"/>
  <c r="S357" i="1"/>
  <c r="H357" i="1"/>
  <c r="W356" i="1"/>
  <c r="V356" i="1"/>
  <c r="U356" i="1"/>
  <c r="T356" i="1"/>
  <c r="S356" i="1"/>
  <c r="H356" i="1"/>
  <c r="U355" i="1"/>
  <c r="V355" i="1" s="1"/>
  <c r="W355" i="1" s="1"/>
  <c r="T355" i="1"/>
  <c r="S355" i="1"/>
  <c r="H355" i="1"/>
  <c r="U354" i="1"/>
  <c r="T354" i="1"/>
  <c r="S354" i="1"/>
  <c r="H354" i="1"/>
  <c r="U353" i="1"/>
  <c r="T353" i="1"/>
  <c r="S353" i="1"/>
  <c r="H353" i="1"/>
  <c r="U352" i="1"/>
  <c r="T352" i="1"/>
  <c r="S352" i="1"/>
  <c r="H352" i="1"/>
  <c r="U351" i="1"/>
  <c r="V351" i="1" s="1"/>
  <c r="W351" i="1" s="1"/>
  <c r="T351" i="1"/>
  <c r="S351" i="1"/>
  <c r="H351" i="1"/>
  <c r="U350" i="1"/>
  <c r="V350" i="1" s="1"/>
  <c r="W350" i="1" s="1"/>
  <c r="T350" i="1"/>
  <c r="S350" i="1"/>
  <c r="H350" i="1"/>
  <c r="U349" i="1"/>
  <c r="V349" i="1" s="1"/>
  <c r="W349" i="1" s="1"/>
  <c r="T349" i="1"/>
  <c r="S349" i="1"/>
  <c r="H349" i="1"/>
  <c r="U348" i="1"/>
  <c r="V348" i="1" s="1"/>
  <c r="W348" i="1" s="1"/>
  <c r="T348" i="1"/>
  <c r="S348" i="1"/>
  <c r="H348" i="1"/>
  <c r="U347" i="1"/>
  <c r="V347" i="1" s="1"/>
  <c r="W347" i="1" s="1"/>
  <c r="T347" i="1"/>
  <c r="S347" i="1"/>
  <c r="H347" i="1"/>
  <c r="U346" i="1"/>
  <c r="V346" i="1" s="1"/>
  <c r="W346" i="1" s="1"/>
  <c r="T346" i="1"/>
  <c r="S346" i="1"/>
  <c r="H346" i="1"/>
  <c r="V345" i="1"/>
  <c r="W345" i="1" s="1"/>
  <c r="U345" i="1"/>
  <c r="T345" i="1"/>
  <c r="S345" i="1"/>
  <c r="H345" i="1"/>
  <c r="U344" i="1"/>
  <c r="V344" i="1" s="1"/>
  <c r="W344" i="1" s="1"/>
  <c r="T344" i="1"/>
  <c r="S344" i="1"/>
  <c r="H344" i="1"/>
  <c r="U343" i="1"/>
  <c r="V343" i="1" s="1"/>
  <c r="W343" i="1" s="1"/>
  <c r="T343" i="1"/>
  <c r="S343" i="1"/>
  <c r="H343" i="1"/>
  <c r="W342" i="1"/>
  <c r="V342" i="1"/>
  <c r="U342" i="1"/>
  <c r="T342" i="1"/>
  <c r="S342" i="1"/>
  <c r="H342" i="1"/>
  <c r="U341" i="1"/>
  <c r="V341" i="1" s="1"/>
  <c r="W341" i="1" s="1"/>
  <c r="T341" i="1"/>
  <c r="S341" i="1"/>
  <c r="H341" i="1"/>
  <c r="U340" i="1"/>
  <c r="V340" i="1" s="1"/>
  <c r="W340" i="1" s="1"/>
  <c r="T340" i="1"/>
  <c r="S340" i="1"/>
  <c r="H340" i="1"/>
  <c r="U339" i="1"/>
  <c r="V339" i="1" s="1"/>
  <c r="W339" i="1" s="1"/>
  <c r="T339" i="1"/>
  <c r="S339" i="1"/>
  <c r="H339" i="1"/>
  <c r="U338" i="1"/>
  <c r="V338" i="1" s="1"/>
  <c r="W338" i="1" s="1"/>
  <c r="T338" i="1"/>
  <c r="S338" i="1"/>
  <c r="H338" i="1"/>
  <c r="U337" i="1"/>
  <c r="V337" i="1" s="1"/>
  <c r="W337" i="1" s="1"/>
  <c r="T337" i="1"/>
  <c r="S337" i="1"/>
  <c r="H337" i="1"/>
  <c r="U336" i="1"/>
  <c r="V336" i="1" s="1"/>
  <c r="W336" i="1" s="1"/>
  <c r="T336" i="1"/>
  <c r="S336" i="1"/>
  <c r="H336" i="1"/>
  <c r="U335" i="1"/>
  <c r="V335" i="1" s="1"/>
  <c r="W335" i="1" s="1"/>
  <c r="T335" i="1"/>
  <c r="S335" i="1"/>
  <c r="H335" i="1"/>
  <c r="U334" i="1"/>
  <c r="V334" i="1" s="1"/>
  <c r="W334" i="1" s="1"/>
  <c r="T334" i="1"/>
  <c r="S334" i="1"/>
  <c r="H334" i="1"/>
  <c r="U333" i="1"/>
  <c r="V333" i="1" s="1"/>
  <c r="W333" i="1" s="1"/>
  <c r="T333" i="1"/>
  <c r="S333" i="1"/>
  <c r="H333" i="1"/>
  <c r="U332" i="1"/>
  <c r="T332" i="1"/>
  <c r="S332" i="1"/>
  <c r="H332" i="1"/>
  <c r="V331" i="1"/>
  <c r="W331" i="1" s="1"/>
  <c r="U331" i="1"/>
  <c r="T331" i="1"/>
  <c r="S331" i="1"/>
  <c r="H331" i="1"/>
  <c r="U330" i="1"/>
  <c r="T330" i="1"/>
  <c r="V330" i="1" s="1"/>
  <c r="W330" i="1" s="1"/>
  <c r="S330" i="1"/>
  <c r="H330" i="1"/>
  <c r="U329" i="1"/>
  <c r="T329" i="1"/>
  <c r="V329" i="1" s="1"/>
  <c r="W329" i="1" s="1"/>
  <c r="S329" i="1"/>
  <c r="H329" i="1"/>
  <c r="W328" i="1"/>
  <c r="V328" i="1"/>
  <c r="U328" i="1"/>
  <c r="T328" i="1"/>
  <c r="S328" i="1"/>
  <c r="H328" i="1"/>
  <c r="V327" i="1"/>
  <c r="W327" i="1" s="1"/>
  <c r="U327" i="1"/>
  <c r="T327" i="1"/>
  <c r="S327" i="1"/>
  <c r="H327" i="1"/>
  <c r="U326" i="1"/>
  <c r="T326" i="1"/>
  <c r="S326" i="1"/>
  <c r="H326" i="1"/>
  <c r="U325" i="1"/>
  <c r="T325" i="1"/>
  <c r="S325" i="1"/>
  <c r="H325" i="1"/>
  <c r="U324" i="1"/>
  <c r="V324" i="1" s="1"/>
  <c r="W324" i="1" s="1"/>
  <c r="T324" i="1"/>
  <c r="S324" i="1"/>
  <c r="H324" i="1"/>
  <c r="U323" i="1"/>
  <c r="T323" i="1"/>
  <c r="S323" i="1"/>
  <c r="H323" i="1"/>
  <c r="U322" i="1"/>
  <c r="V322" i="1" s="1"/>
  <c r="W322" i="1" s="1"/>
  <c r="T322" i="1"/>
  <c r="S322" i="1"/>
  <c r="H322" i="1"/>
  <c r="V321" i="1"/>
  <c r="W321" i="1" s="1"/>
  <c r="U321" i="1"/>
  <c r="T321" i="1"/>
  <c r="S321" i="1"/>
  <c r="H321" i="1"/>
  <c r="U320" i="1"/>
  <c r="V320" i="1" s="1"/>
  <c r="W320" i="1" s="1"/>
  <c r="T320" i="1"/>
  <c r="S320" i="1"/>
  <c r="H320" i="1"/>
  <c r="U319" i="1"/>
  <c r="V319" i="1" s="1"/>
  <c r="W319" i="1" s="1"/>
  <c r="T319" i="1"/>
  <c r="S319" i="1"/>
  <c r="H319" i="1"/>
  <c r="U318" i="1"/>
  <c r="V318" i="1" s="1"/>
  <c r="W318" i="1" s="1"/>
  <c r="T318" i="1"/>
  <c r="S318" i="1"/>
  <c r="H318" i="1"/>
  <c r="V317" i="1"/>
  <c r="W317" i="1" s="1"/>
  <c r="U317" i="1"/>
  <c r="T317" i="1"/>
  <c r="S317" i="1"/>
  <c r="H317" i="1"/>
  <c r="U316" i="1"/>
  <c r="V316" i="1" s="1"/>
  <c r="W316" i="1" s="1"/>
  <c r="T316" i="1"/>
  <c r="S316" i="1"/>
  <c r="H316" i="1"/>
  <c r="U315" i="1"/>
  <c r="V315" i="1" s="1"/>
  <c r="W315" i="1" s="1"/>
  <c r="T315" i="1"/>
  <c r="S315" i="1"/>
  <c r="H315" i="1"/>
  <c r="W314" i="1"/>
  <c r="U314" i="1"/>
  <c r="T314" i="1"/>
  <c r="S314" i="1"/>
  <c r="H314" i="1"/>
  <c r="U313" i="1"/>
  <c r="V313" i="1" s="1"/>
  <c r="W313" i="1" s="1"/>
  <c r="T313" i="1"/>
  <c r="S313" i="1"/>
  <c r="H313" i="1"/>
  <c r="U312" i="1"/>
  <c r="V312" i="1" s="1"/>
  <c r="W312" i="1" s="1"/>
  <c r="T312" i="1"/>
  <c r="S312" i="1"/>
  <c r="H312" i="1"/>
  <c r="U311" i="1"/>
  <c r="V311" i="1" s="1"/>
  <c r="W311" i="1" s="1"/>
  <c r="T311" i="1"/>
  <c r="S311" i="1"/>
  <c r="H311" i="1"/>
  <c r="U310" i="1"/>
  <c r="V310" i="1" s="1"/>
  <c r="W310" i="1" s="1"/>
  <c r="T310" i="1"/>
  <c r="S310" i="1"/>
  <c r="H310" i="1"/>
  <c r="U309" i="1"/>
  <c r="T309" i="1"/>
  <c r="S309" i="1"/>
  <c r="H309" i="1"/>
  <c r="U308" i="1"/>
  <c r="V308" i="1" s="1"/>
  <c r="W308" i="1" s="1"/>
  <c r="T308" i="1"/>
  <c r="S308" i="1"/>
  <c r="H308" i="1"/>
  <c r="U307" i="1"/>
  <c r="V307" i="1" s="1"/>
  <c r="W307" i="1" s="1"/>
  <c r="T307" i="1"/>
  <c r="S307" i="1"/>
  <c r="H307" i="1"/>
  <c r="U306" i="1"/>
  <c r="T306" i="1"/>
  <c r="V306" i="1" s="1"/>
  <c r="W306" i="1" s="1"/>
  <c r="S306" i="1"/>
  <c r="H306" i="1"/>
  <c r="U305" i="1"/>
  <c r="T305" i="1"/>
  <c r="V305" i="1" s="1"/>
  <c r="W305" i="1" s="1"/>
  <c r="S305" i="1"/>
  <c r="H305" i="1"/>
  <c r="U304" i="1"/>
  <c r="T304" i="1"/>
  <c r="V304" i="1" s="1"/>
  <c r="W304" i="1" s="1"/>
  <c r="S304" i="1"/>
  <c r="H304" i="1"/>
  <c r="U303" i="1"/>
  <c r="V303" i="1" s="1"/>
  <c r="W303" i="1" s="1"/>
  <c r="T303" i="1"/>
  <c r="S303" i="1"/>
  <c r="H303" i="1"/>
  <c r="W302" i="1"/>
  <c r="V302" i="1"/>
  <c r="U302" i="1"/>
  <c r="T302" i="1"/>
  <c r="S302" i="1"/>
  <c r="H302" i="1"/>
  <c r="U301" i="1"/>
  <c r="T301" i="1"/>
  <c r="V301" i="1" s="1"/>
  <c r="W301" i="1" s="1"/>
  <c r="S301" i="1"/>
  <c r="H301" i="1"/>
  <c r="V300" i="1"/>
  <c r="W300" i="1" s="1"/>
  <c r="U300" i="1"/>
  <c r="T300" i="1"/>
  <c r="S300" i="1"/>
  <c r="H300" i="1"/>
  <c r="U299" i="1"/>
  <c r="T299" i="1"/>
  <c r="V299" i="1" s="1"/>
  <c r="W299" i="1" s="1"/>
  <c r="S299" i="1"/>
  <c r="H299" i="1"/>
  <c r="U298" i="1"/>
  <c r="T298" i="1"/>
  <c r="V298" i="1" s="1"/>
  <c r="W298" i="1" s="1"/>
  <c r="S298" i="1"/>
  <c r="H298" i="1"/>
  <c r="U297" i="1"/>
  <c r="T297" i="1"/>
  <c r="V297" i="1" s="1"/>
  <c r="W297" i="1" s="1"/>
  <c r="S297" i="1"/>
  <c r="H297" i="1"/>
  <c r="U296" i="1"/>
  <c r="V296" i="1" s="1"/>
  <c r="W296" i="1" s="1"/>
  <c r="T296" i="1"/>
  <c r="S296" i="1"/>
  <c r="H296" i="1"/>
  <c r="U295" i="1"/>
  <c r="T295" i="1"/>
  <c r="V295" i="1" s="1"/>
  <c r="W295" i="1" s="1"/>
  <c r="S295" i="1"/>
  <c r="H295" i="1"/>
  <c r="U294" i="1"/>
  <c r="T294" i="1"/>
  <c r="V294" i="1" s="1"/>
  <c r="W294" i="1" s="1"/>
  <c r="S294" i="1"/>
  <c r="H294" i="1"/>
  <c r="U293" i="1"/>
  <c r="T293" i="1"/>
  <c r="V293" i="1" s="1"/>
  <c r="W293" i="1" s="1"/>
  <c r="S293" i="1"/>
  <c r="H293" i="1"/>
  <c r="U292" i="1"/>
  <c r="T292" i="1"/>
  <c r="V292" i="1" s="1"/>
  <c r="W292" i="1" s="1"/>
  <c r="S292" i="1"/>
  <c r="H292" i="1"/>
  <c r="V291" i="1"/>
  <c r="W291" i="1" s="1"/>
  <c r="U291" i="1"/>
  <c r="T291" i="1"/>
  <c r="S291" i="1"/>
  <c r="H291" i="1"/>
  <c r="U290" i="1"/>
  <c r="T290" i="1"/>
  <c r="V290" i="1" s="1"/>
  <c r="W290" i="1" s="1"/>
  <c r="S290" i="1"/>
  <c r="H290" i="1"/>
  <c r="U289" i="1"/>
  <c r="V289" i="1" s="1"/>
  <c r="W289" i="1" s="1"/>
  <c r="T289" i="1"/>
  <c r="S289" i="1"/>
  <c r="H289" i="1"/>
  <c r="U288" i="1"/>
  <c r="T288" i="1"/>
  <c r="V288" i="1" s="1"/>
  <c r="W288" i="1" s="1"/>
  <c r="S288" i="1"/>
  <c r="H288" i="1"/>
  <c r="U287" i="1"/>
  <c r="T287" i="1"/>
  <c r="V287" i="1" s="1"/>
  <c r="W287" i="1" s="1"/>
  <c r="S287" i="1"/>
  <c r="H287" i="1"/>
  <c r="V286" i="1"/>
  <c r="W286" i="1" s="1"/>
  <c r="U286" i="1"/>
  <c r="T286" i="1"/>
  <c r="S286" i="1"/>
  <c r="H286" i="1"/>
  <c r="U285" i="1"/>
  <c r="V285" i="1" s="1"/>
  <c r="W285" i="1" s="1"/>
  <c r="T285" i="1"/>
  <c r="S285" i="1"/>
  <c r="H285" i="1"/>
  <c r="U284" i="1"/>
  <c r="V284" i="1" s="1"/>
  <c r="W284" i="1" s="1"/>
  <c r="T284" i="1"/>
  <c r="S284" i="1"/>
  <c r="H284" i="1"/>
  <c r="U283" i="1"/>
  <c r="V283" i="1" s="1"/>
  <c r="W283" i="1" s="1"/>
  <c r="T283" i="1"/>
  <c r="S283" i="1"/>
  <c r="H283" i="1"/>
  <c r="U282" i="1"/>
  <c r="V282" i="1" s="1"/>
  <c r="W282" i="1" s="1"/>
  <c r="T282" i="1"/>
  <c r="S282" i="1"/>
  <c r="H282" i="1"/>
  <c r="U281" i="1"/>
  <c r="V281" i="1" s="1"/>
  <c r="W281" i="1" s="1"/>
  <c r="T281" i="1"/>
  <c r="S281" i="1"/>
  <c r="H281" i="1"/>
  <c r="U280" i="1"/>
  <c r="V280" i="1" s="1"/>
  <c r="W280" i="1" s="1"/>
  <c r="T280" i="1"/>
  <c r="S280" i="1"/>
  <c r="H280" i="1"/>
  <c r="U279" i="1"/>
  <c r="V279" i="1" s="1"/>
  <c r="W279" i="1" s="1"/>
  <c r="T279" i="1"/>
  <c r="S279" i="1"/>
  <c r="H279" i="1"/>
  <c r="U278" i="1"/>
  <c r="V278" i="1" s="1"/>
  <c r="W278" i="1" s="1"/>
  <c r="T278" i="1"/>
  <c r="S278" i="1"/>
  <c r="H278" i="1"/>
  <c r="U277" i="1"/>
  <c r="V277" i="1" s="1"/>
  <c r="W277" i="1" s="1"/>
  <c r="T277" i="1"/>
  <c r="S277" i="1"/>
  <c r="H277" i="1"/>
  <c r="U276" i="1"/>
  <c r="V276" i="1" s="1"/>
  <c r="W276" i="1" s="1"/>
  <c r="T276" i="1"/>
  <c r="S276" i="1"/>
  <c r="H276" i="1"/>
  <c r="U275" i="1"/>
  <c r="V275" i="1" s="1"/>
  <c r="W275" i="1" s="1"/>
  <c r="T275" i="1"/>
  <c r="S275" i="1"/>
  <c r="H275" i="1"/>
  <c r="W274" i="1"/>
  <c r="V274" i="1"/>
  <c r="U274" i="1"/>
  <c r="T274" i="1"/>
  <c r="S274" i="1"/>
  <c r="H274" i="1"/>
  <c r="U273" i="1"/>
  <c r="V273" i="1" s="1"/>
  <c r="W273" i="1" s="1"/>
  <c r="T273" i="1"/>
  <c r="S273" i="1"/>
  <c r="H273" i="1"/>
  <c r="V272" i="1"/>
  <c r="W272" i="1" s="1"/>
  <c r="U272" i="1"/>
  <c r="T272" i="1"/>
  <c r="S272" i="1"/>
  <c r="H272" i="1"/>
  <c r="U271" i="1"/>
  <c r="V271" i="1" s="1"/>
  <c r="W271" i="1" s="1"/>
  <c r="T271" i="1"/>
  <c r="S271" i="1"/>
  <c r="H271" i="1"/>
  <c r="U270" i="1"/>
  <c r="V270" i="1" s="1"/>
  <c r="W270" i="1" s="1"/>
  <c r="T270" i="1"/>
  <c r="S270" i="1"/>
  <c r="H270" i="1"/>
  <c r="V269" i="1"/>
  <c r="W269" i="1" s="1"/>
  <c r="U269" i="1"/>
  <c r="T269" i="1"/>
  <c r="S269" i="1"/>
  <c r="H269" i="1"/>
  <c r="U268" i="1"/>
  <c r="T268" i="1"/>
  <c r="V268" i="1" s="1"/>
  <c r="W268" i="1" s="1"/>
  <c r="S268" i="1"/>
  <c r="H268" i="1"/>
  <c r="U267" i="1"/>
  <c r="T267" i="1"/>
  <c r="V267" i="1" s="1"/>
  <c r="W267" i="1" s="1"/>
  <c r="S267" i="1"/>
  <c r="H267" i="1"/>
  <c r="U266" i="1"/>
  <c r="T266" i="1"/>
  <c r="V266" i="1" s="1"/>
  <c r="W266" i="1" s="1"/>
  <c r="S266" i="1"/>
  <c r="H266" i="1"/>
  <c r="U265" i="1"/>
  <c r="T265" i="1"/>
  <c r="V265" i="1" s="1"/>
  <c r="W265" i="1" s="1"/>
  <c r="S265" i="1"/>
  <c r="H265" i="1"/>
  <c r="U264" i="1"/>
  <c r="T264" i="1"/>
  <c r="V264" i="1" s="1"/>
  <c r="W264" i="1" s="1"/>
  <c r="S264" i="1"/>
  <c r="H264" i="1"/>
  <c r="U263" i="1"/>
  <c r="T263" i="1"/>
  <c r="V263" i="1" s="1"/>
  <c r="W263" i="1" s="1"/>
  <c r="S263" i="1"/>
  <c r="H263" i="1"/>
  <c r="U262" i="1"/>
  <c r="V262" i="1" s="1"/>
  <c r="W262" i="1" s="1"/>
  <c r="T262" i="1"/>
  <c r="S262" i="1"/>
  <c r="H262" i="1"/>
  <c r="U261" i="1"/>
  <c r="V261" i="1" s="1"/>
  <c r="W261" i="1" s="1"/>
  <c r="T261" i="1"/>
  <c r="S261" i="1"/>
  <c r="H261" i="1"/>
  <c r="U260" i="1"/>
  <c r="T260" i="1"/>
  <c r="V260" i="1" s="1"/>
  <c r="W260" i="1" s="1"/>
  <c r="S260" i="1"/>
  <c r="H260" i="1"/>
  <c r="W259" i="1"/>
  <c r="V259" i="1"/>
  <c r="U259" i="1"/>
  <c r="T259" i="1"/>
  <c r="S259" i="1"/>
  <c r="H259" i="1"/>
  <c r="V258" i="1"/>
  <c r="W258" i="1" s="1"/>
  <c r="U258" i="1"/>
  <c r="T258" i="1"/>
  <c r="S258" i="1"/>
  <c r="H258" i="1"/>
  <c r="U257" i="1"/>
  <c r="V257" i="1" s="1"/>
  <c r="W257" i="1" s="1"/>
  <c r="T257" i="1"/>
  <c r="S257" i="1"/>
  <c r="H257" i="1"/>
  <c r="U256" i="1"/>
  <c r="V256" i="1" s="1"/>
  <c r="W256" i="1" s="1"/>
  <c r="T256" i="1"/>
  <c r="S256" i="1"/>
  <c r="H256" i="1"/>
  <c r="U255" i="1"/>
  <c r="V255" i="1" s="1"/>
  <c r="W255" i="1" s="1"/>
  <c r="T255" i="1"/>
  <c r="S255" i="1"/>
  <c r="H255" i="1"/>
  <c r="U254" i="1"/>
  <c r="V254" i="1" s="1"/>
  <c r="W254" i="1" s="1"/>
  <c r="T254" i="1"/>
  <c r="S254" i="1"/>
  <c r="H254" i="1"/>
  <c r="U253" i="1"/>
  <c r="V253" i="1" s="1"/>
  <c r="W253" i="1" s="1"/>
  <c r="T253" i="1"/>
  <c r="S253" i="1"/>
  <c r="H253" i="1"/>
  <c r="U252" i="1"/>
  <c r="V252" i="1" s="1"/>
  <c r="W252" i="1" s="1"/>
  <c r="T252" i="1"/>
  <c r="S252" i="1"/>
  <c r="H252" i="1"/>
  <c r="U251" i="1"/>
  <c r="V251" i="1" s="1"/>
  <c r="W251" i="1" s="1"/>
  <c r="T251" i="1"/>
  <c r="S251" i="1"/>
  <c r="H251" i="1"/>
  <c r="W250" i="1"/>
  <c r="V250" i="1"/>
  <c r="U250" i="1"/>
  <c r="T250" i="1"/>
  <c r="S250" i="1"/>
  <c r="H250" i="1"/>
  <c r="U249" i="1"/>
  <c r="V249" i="1" s="1"/>
  <c r="W249" i="1" s="1"/>
  <c r="T249" i="1"/>
  <c r="S249" i="1"/>
  <c r="H249" i="1"/>
  <c r="V248" i="1"/>
  <c r="W248" i="1" s="1"/>
  <c r="U248" i="1"/>
  <c r="T248" i="1"/>
  <c r="S248" i="1"/>
  <c r="H248" i="1"/>
  <c r="W247" i="1"/>
  <c r="V247" i="1"/>
  <c r="U247" i="1"/>
  <c r="T247" i="1"/>
  <c r="S247" i="1"/>
  <c r="H247" i="1"/>
  <c r="U246" i="1"/>
  <c r="V246" i="1" s="1"/>
  <c r="W246" i="1" s="1"/>
  <c r="T246" i="1"/>
  <c r="S246" i="1"/>
  <c r="H246" i="1"/>
  <c r="U245" i="1"/>
  <c r="V245" i="1" s="1"/>
  <c r="W245" i="1" s="1"/>
  <c r="T245" i="1"/>
  <c r="S245" i="1"/>
  <c r="H245" i="1"/>
  <c r="V244" i="1"/>
  <c r="W244" i="1" s="1"/>
  <c r="U244" i="1"/>
  <c r="T244" i="1"/>
  <c r="S244" i="1"/>
  <c r="H244" i="1"/>
  <c r="U243" i="1"/>
  <c r="V243" i="1" s="1"/>
  <c r="W243" i="1" s="1"/>
  <c r="T243" i="1"/>
  <c r="S243" i="1"/>
  <c r="H243" i="1"/>
  <c r="U242" i="1"/>
  <c r="V242" i="1" s="1"/>
  <c r="W242" i="1" s="1"/>
  <c r="T242" i="1"/>
  <c r="S242" i="1"/>
  <c r="H242" i="1"/>
  <c r="U241" i="1"/>
  <c r="V241" i="1" s="1"/>
  <c r="W241" i="1" s="1"/>
  <c r="T241" i="1"/>
  <c r="S241" i="1"/>
  <c r="H241" i="1"/>
  <c r="U240" i="1"/>
  <c r="V240" i="1" s="1"/>
  <c r="W240" i="1" s="1"/>
  <c r="T240" i="1"/>
  <c r="S240" i="1"/>
  <c r="H240" i="1"/>
  <c r="U239" i="1"/>
  <c r="V239" i="1" s="1"/>
  <c r="W239" i="1" s="1"/>
  <c r="T239" i="1"/>
  <c r="S239" i="1"/>
  <c r="H239" i="1"/>
  <c r="U238" i="1"/>
  <c r="V238" i="1" s="1"/>
  <c r="W238" i="1" s="1"/>
  <c r="T238" i="1"/>
  <c r="S238" i="1"/>
  <c r="H238" i="1"/>
  <c r="U237" i="1"/>
  <c r="V237" i="1" s="1"/>
  <c r="W237" i="1" s="1"/>
  <c r="T237" i="1"/>
  <c r="S237" i="1"/>
  <c r="H237" i="1"/>
  <c r="U236" i="1"/>
  <c r="V236" i="1" s="1"/>
  <c r="W236" i="1" s="1"/>
  <c r="T236" i="1"/>
  <c r="S236" i="1"/>
  <c r="H236" i="1"/>
  <c r="W235" i="1"/>
  <c r="V235" i="1"/>
  <c r="U235" i="1"/>
  <c r="T235" i="1"/>
  <c r="S235" i="1"/>
  <c r="H235" i="1"/>
  <c r="U234" i="1"/>
  <c r="V234" i="1" s="1"/>
  <c r="W234" i="1" s="1"/>
  <c r="T234" i="1"/>
  <c r="S234" i="1"/>
  <c r="H234" i="1"/>
  <c r="V233" i="1"/>
  <c r="W233" i="1" s="1"/>
  <c r="U233" i="1"/>
  <c r="T233" i="1"/>
  <c r="S233" i="1"/>
  <c r="H233" i="1"/>
  <c r="U232" i="1"/>
  <c r="V232" i="1" s="1"/>
  <c r="W232" i="1" s="1"/>
  <c r="T232" i="1"/>
  <c r="S232" i="1"/>
  <c r="H232" i="1"/>
  <c r="V231" i="1"/>
  <c r="W231" i="1" s="1"/>
  <c r="U231" i="1"/>
  <c r="T231" i="1"/>
  <c r="S231" i="1"/>
  <c r="H231" i="1"/>
  <c r="W230" i="1"/>
  <c r="V230" i="1"/>
  <c r="U230" i="1"/>
  <c r="T230" i="1"/>
  <c r="S230" i="1"/>
  <c r="H230" i="1"/>
  <c r="U229" i="1"/>
  <c r="V229" i="1" s="1"/>
  <c r="W229" i="1" s="1"/>
  <c r="T229" i="1"/>
  <c r="S229" i="1"/>
  <c r="H229" i="1"/>
  <c r="U228" i="1"/>
  <c r="V228" i="1" s="1"/>
  <c r="W228" i="1" s="1"/>
  <c r="T228" i="1"/>
  <c r="S228" i="1"/>
  <c r="H228" i="1"/>
  <c r="U227" i="1"/>
  <c r="V227" i="1" s="1"/>
  <c r="W227" i="1" s="1"/>
  <c r="T227" i="1"/>
  <c r="S227" i="1"/>
  <c r="H227" i="1"/>
  <c r="V226" i="1"/>
  <c r="W226" i="1" s="1"/>
  <c r="U226" i="1"/>
  <c r="T226" i="1"/>
  <c r="S226" i="1"/>
  <c r="H226" i="1"/>
  <c r="U225" i="1"/>
  <c r="V225" i="1" s="1"/>
  <c r="W225" i="1" s="1"/>
  <c r="T225" i="1"/>
  <c r="S225" i="1"/>
  <c r="H225" i="1"/>
  <c r="U224" i="1"/>
  <c r="V224" i="1" s="1"/>
  <c r="W224" i="1" s="1"/>
  <c r="T224" i="1"/>
  <c r="S224" i="1"/>
  <c r="H224" i="1"/>
  <c r="U223" i="1"/>
  <c r="V223" i="1" s="1"/>
  <c r="W223" i="1" s="1"/>
  <c r="T223" i="1"/>
  <c r="S223" i="1"/>
  <c r="H223" i="1"/>
  <c r="U222" i="1"/>
  <c r="V222" i="1" s="1"/>
  <c r="W222" i="1" s="1"/>
  <c r="T222" i="1"/>
  <c r="S222" i="1"/>
  <c r="H222" i="1"/>
  <c r="U221" i="1"/>
  <c r="V221" i="1" s="1"/>
  <c r="W221" i="1" s="1"/>
  <c r="T221" i="1"/>
  <c r="S221" i="1"/>
  <c r="H221" i="1"/>
  <c r="V220" i="1"/>
  <c r="W220" i="1" s="1"/>
  <c r="U220" i="1"/>
  <c r="T220" i="1"/>
  <c r="S220" i="1"/>
  <c r="H220" i="1"/>
  <c r="U219" i="1"/>
  <c r="V219" i="1" s="1"/>
  <c r="W219" i="1" s="1"/>
  <c r="T219" i="1"/>
  <c r="S219" i="1"/>
  <c r="H219" i="1"/>
  <c r="V218" i="1"/>
  <c r="W218" i="1" s="1"/>
  <c r="U218" i="1"/>
  <c r="T218" i="1"/>
  <c r="S218" i="1"/>
  <c r="H218" i="1"/>
  <c r="U217" i="1"/>
  <c r="V217" i="1" s="1"/>
  <c r="W217" i="1" s="1"/>
  <c r="T217" i="1"/>
  <c r="S217" i="1"/>
  <c r="H217" i="1"/>
  <c r="V216" i="1"/>
  <c r="W216" i="1" s="1"/>
  <c r="U216" i="1"/>
  <c r="T216" i="1"/>
  <c r="S216" i="1"/>
  <c r="H216" i="1"/>
  <c r="U215" i="1"/>
  <c r="V215" i="1" s="1"/>
  <c r="W215" i="1" s="1"/>
  <c r="T215" i="1"/>
  <c r="S215" i="1"/>
  <c r="H215" i="1"/>
  <c r="U214" i="1"/>
  <c r="V214" i="1" s="1"/>
  <c r="W214" i="1" s="1"/>
  <c r="T214" i="1"/>
  <c r="S214" i="1"/>
  <c r="H214" i="1"/>
  <c r="U213" i="1"/>
  <c r="V213" i="1" s="1"/>
  <c r="W213" i="1" s="1"/>
  <c r="T213" i="1"/>
  <c r="S213" i="1"/>
  <c r="H213" i="1"/>
  <c r="U212" i="1"/>
  <c r="T212" i="1"/>
  <c r="S212" i="1"/>
  <c r="H212" i="1"/>
  <c r="U211" i="1"/>
  <c r="V211" i="1" s="1"/>
  <c r="W211" i="1" s="1"/>
  <c r="T211" i="1"/>
  <c r="S211" i="1"/>
  <c r="H211" i="1"/>
  <c r="W210" i="1"/>
  <c r="V210" i="1"/>
  <c r="U210" i="1"/>
  <c r="T210" i="1"/>
  <c r="S210" i="1"/>
  <c r="H210" i="1"/>
  <c r="U209" i="1"/>
  <c r="V209" i="1" s="1"/>
  <c r="W209" i="1" s="1"/>
  <c r="T209" i="1"/>
  <c r="S209" i="1"/>
  <c r="H209" i="1"/>
  <c r="V208" i="1"/>
  <c r="W208" i="1" s="1"/>
  <c r="U208" i="1"/>
  <c r="T208" i="1"/>
  <c r="S208" i="1"/>
  <c r="H208" i="1"/>
  <c r="U207" i="1"/>
  <c r="V207" i="1" s="1"/>
  <c r="W207" i="1" s="1"/>
  <c r="T207" i="1"/>
  <c r="S207" i="1"/>
  <c r="H207" i="1"/>
  <c r="U206" i="1"/>
  <c r="V206" i="1" s="1"/>
  <c r="W206" i="1" s="1"/>
  <c r="T206" i="1"/>
  <c r="S206" i="1"/>
  <c r="H206" i="1"/>
  <c r="V205" i="1"/>
  <c r="W205" i="1" s="1"/>
  <c r="U205" i="1"/>
  <c r="T205" i="1"/>
  <c r="S205" i="1"/>
  <c r="H205" i="1"/>
  <c r="U204" i="1"/>
  <c r="V204" i="1" s="1"/>
  <c r="W204" i="1" s="1"/>
  <c r="T204" i="1"/>
  <c r="S204" i="1"/>
  <c r="H204" i="1"/>
  <c r="W203" i="1"/>
  <c r="V203" i="1"/>
  <c r="U203" i="1"/>
  <c r="T203" i="1"/>
  <c r="S203" i="1"/>
  <c r="H203" i="1"/>
  <c r="U202" i="1"/>
  <c r="V202" i="1" s="1"/>
  <c r="W202" i="1" s="1"/>
  <c r="T202" i="1"/>
  <c r="S202" i="1"/>
  <c r="H202" i="1"/>
  <c r="U201" i="1"/>
  <c r="V201" i="1" s="1"/>
  <c r="W201" i="1" s="1"/>
  <c r="T201" i="1"/>
  <c r="S201" i="1"/>
  <c r="H201" i="1"/>
  <c r="W200" i="1"/>
  <c r="U200" i="1"/>
  <c r="V200" i="1" s="1"/>
  <c r="T200" i="1"/>
  <c r="S200" i="1"/>
  <c r="H200" i="1"/>
  <c r="U199" i="1"/>
  <c r="V199" i="1" s="1"/>
  <c r="W199" i="1" s="1"/>
  <c r="T199" i="1"/>
  <c r="S199" i="1"/>
  <c r="H199" i="1"/>
  <c r="U198" i="1"/>
  <c r="V198" i="1" s="1"/>
  <c r="W198" i="1" s="1"/>
  <c r="T198" i="1"/>
  <c r="S198" i="1"/>
  <c r="H198" i="1"/>
  <c r="U197" i="1"/>
  <c r="T197" i="1"/>
  <c r="S197" i="1"/>
  <c r="H197" i="1"/>
  <c r="U196" i="1"/>
  <c r="V196" i="1" s="1"/>
  <c r="W196" i="1" s="1"/>
  <c r="T196" i="1"/>
  <c r="S196" i="1"/>
  <c r="H196" i="1"/>
  <c r="U195" i="1"/>
  <c r="V195" i="1" s="1"/>
  <c r="W195" i="1" s="1"/>
  <c r="T195" i="1"/>
  <c r="S195" i="1"/>
  <c r="H195" i="1"/>
  <c r="U194" i="1"/>
  <c r="V194" i="1" s="1"/>
  <c r="W194" i="1" s="1"/>
  <c r="T194" i="1"/>
  <c r="S194" i="1"/>
  <c r="H194" i="1"/>
  <c r="V193" i="1"/>
  <c r="W193" i="1" s="1"/>
  <c r="U193" i="1"/>
  <c r="T193" i="1"/>
  <c r="S193" i="1"/>
  <c r="H193" i="1"/>
  <c r="U192" i="1"/>
  <c r="V192" i="1" s="1"/>
  <c r="W192" i="1" s="1"/>
  <c r="T192" i="1"/>
  <c r="S192" i="1"/>
  <c r="H192" i="1"/>
  <c r="U191" i="1"/>
  <c r="V191" i="1" s="1"/>
  <c r="W191" i="1" s="1"/>
  <c r="T191" i="1"/>
  <c r="S191" i="1"/>
  <c r="H191" i="1"/>
  <c r="W190" i="1"/>
  <c r="V190" i="1"/>
  <c r="U190" i="1"/>
  <c r="T190" i="1"/>
  <c r="S190" i="1"/>
  <c r="H190" i="1"/>
  <c r="U189" i="1"/>
  <c r="V189" i="1" s="1"/>
  <c r="W189" i="1" s="1"/>
  <c r="T189" i="1"/>
  <c r="S189" i="1"/>
  <c r="H189" i="1"/>
  <c r="W188" i="1"/>
  <c r="U188" i="1"/>
  <c r="V188" i="1" s="1"/>
  <c r="T188" i="1"/>
  <c r="S188" i="1"/>
  <c r="H188" i="1"/>
  <c r="U187" i="1"/>
  <c r="V187" i="1" s="1"/>
  <c r="W187" i="1" s="1"/>
  <c r="T187" i="1"/>
  <c r="S187" i="1"/>
  <c r="H187" i="1"/>
  <c r="U186" i="1"/>
  <c r="V186" i="1" s="1"/>
  <c r="W186" i="1" s="1"/>
  <c r="T186" i="1"/>
  <c r="S186" i="1"/>
  <c r="H186" i="1"/>
  <c r="U185" i="1"/>
  <c r="T185" i="1"/>
  <c r="V185" i="1" s="1"/>
  <c r="W185" i="1" s="1"/>
  <c r="S185" i="1"/>
  <c r="H185" i="1"/>
  <c r="U184" i="1"/>
  <c r="T184" i="1"/>
  <c r="V184" i="1" s="1"/>
  <c r="W184" i="1" s="1"/>
  <c r="S184" i="1"/>
  <c r="H184" i="1"/>
  <c r="U183" i="1"/>
  <c r="V183" i="1" s="1"/>
  <c r="W183" i="1" s="1"/>
  <c r="T183" i="1"/>
  <c r="S183" i="1"/>
  <c r="H183" i="1"/>
  <c r="U182" i="1"/>
  <c r="V182" i="1" s="1"/>
  <c r="W182" i="1" s="1"/>
  <c r="T182" i="1"/>
  <c r="S182" i="1"/>
  <c r="H182" i="1"/>
  <c r="U181" i="1"/>
  <c r="V181" i="1" s="1"/>
  <c r="W181" i="1" s="1"/>
  <c r="T181" i="1"/>
  <c r="S181" i="1"/>
  <c r="H181" i="1"/>
  <c r="U180" i="1"/>
  <c r="T180" i="1"/>
  <c r="V180" i="1" s="1"/>
  <c r="W180" i="1" s="1"/>
  <c r="S180" i="1"/>
  <c r="H180" i="1"/>
  <c r="W179" i="1"/>
  <c r="V179" i="1"/>
  <c r="U179" i="1"/>
  <c r="T179" i="1"/>
  <c r="S179" i="1"/>
  <c r="H179" i="1"/>
  <c r="V178" i="1"/>
  <c r="W178" i="1" s="1"/>
  <c r="U178" i="1"/>
  <c r="T178" i="1"/>
  <c r="S178" i="1"/>
  <c r="H178" i="1"/>
  <c r="U177" i="1"/>
  <c r="V177" i="1" s="1"/>
  <c r="W177" i="1" s="1"/>
  <c r="T177" i="1"/>
  <c r="S177" i="1"/>
  <c r="H177" i="1"/>
  <c r="U176" i="1"/>
  <c r="T176" i="1"/>
  <c r="S176" i="1"/>
  <c r="H176" i="1"/>
  <c r="U175" i="1"/>
  <c r="V175" i="1" s="1"/>
  <c r="W175" i="1" s="1"/>
  <c r="T175" i="1"/>
  <c r="S175" i="1"/>
  <c r="H175" i="1"/>
  <c r="V174" i="1"/>
  <c r="W174" i="1" s="1"/>
  <c r="U174" i="1"/>
  <c r="T174" i="1"/>
  <c r="S174" i="1"/>
  <c r="H174" i="1"/>
  <c r="U173" i="1"/>
  <c r="V173" i="1" s="1"/>
  <c r="W173" i="1" s="1"/>
  <c r="T173" i="1"/>
  <c r="S173" i="1"/>
  <c r="H173" i="1"/>
  <c r="U172" i="1"/>
  <c r="V172" i="1" s="1"/>
  <c r="W172" i="1" s="1"/>
  <c r="T172" i="1"/>
  <c r="S172" i="1"/>
  <c r="H172" i="1"/>
  <c r="U171" i="1"/>
  <c r="V171" i="1" s="1"/>
  <c r="W171" i="1" s="1"/>
  <c r="T171" i="1"/>
  <c r="S171" i="1"/>
  <c r="H171" i="1"/>
  <c r="U170" i="1"/>
  <c r="T170" i="1"/>
  <c r="V170" i="1" s="1"/>
  <c r="W170" i="1" s="1"/>
  <c r="S170" i="1"/>
  <c r="H170" i="1"/>
  <c r="U169" i="1"/>
  <c r="V169" i="1" s="1"/>
  <c r="W169" i="1" s="1"/>
  <c r="T169" i="1"/>
  <c r="S169" i="1"/>
  <c r="H169" i="1"/>
  <c r="U168" i="1"/>
  <c r="V168" i="1" s="1"/>
  <c r="W168" i="1" s="1"/>
  <c r="T168" i="1"/>
  <c r="S168" i="1"/>
  <c r="H168" i="1"/>
  <c r="U167" i="1"/>
  <c r="T167" i="1"/>
  <c r="S167" i="1"/>
  <c r="H167" i="1"/>
  <c r="U166" i="1"/>
  <c r="V166" i="1" s="1"/>
  <c r="W166" i="1" s="1"/>
  <c r="T166" i="1"/>
  <c r="S166" i="1"/>
  <c r="H166" i="1"/>
  <c r="U165" i="1"/>
  <c r="T165" i="1"/>
  <c r="S165" i="1"/>
  <c r="H165" i="1"/>
  <c r="U164" i="1"/>
  <c r="T164" i="1"/>
  <c r="V164" i="1" s="1"/>
  <c r="W164" i="1" s="1"/>
  <c r="S164" i="1"/>
  <c r="H164" i="1"/>
  <c r="U163" i="1"/>
  <c r="V163" i="1" s="1"/>
  <c r="W163" i="1" s="1"/>
  <c r="T163" i="1"/>
  <c r="S163" i="1"/>
  <c r="H163" i="1"/>
  <c r="U162" i="1"/>
  <c r="V162" i="1" s="1"/>
  <c r="W162" i="1" s="1"/>
  <c r="T162" i="1"/>
  <c r="S162" i="1"/>
  <c r="H162" i="1"/>
  <c r="U161" i="1"/>
  <c r="V161" i="1" s="1"/>
  <c r="W161" i="1" s="1"/>
  <c r="T161" i="1"/>
  <c r="S161" i="1"/>
  <c r="H161" i="1"/>
  <c r="U160" i="1"/>
  <c r="V160" i="1" s="1"/>
  <c r="W160" i="1" s="1"/>
  <c r="T160" i="1"/>
  <c r="S160" i="1"/>
  <c r="H160" i="1"/>
  <c r="U159" i="1"/>
  <c r="T159" i="1"/>
  <c r="S159" i="1"/>
  <c r="H159" i="1"/>
  <c r="U158" i="1"/>
  <c r="V158" i="1" s="1"/>
  <c r="W158" i="1" s="1"/>
  <c r="T158" i="1"/>
  <c r="S158" i="1"/>
  <c r="H158" i="1"/>
  <c r="V157" i="1"/>
  <c r="W157" i="1" s="1"/>
  <c r="U157" i="1"/>
  <c r="T157" i="1"/>
  <c r="S157" i="1"/>
  <c r="H157" i="1"/>
  <c r="U156" i="1"/>
  <c r="T156" i="1"/>
  <c r="V156" i="1" s="1"/>
  <c r="W156" i="1" s="1"/>
  <c r="S156" i="1"/>
  <c r="H156" i="1"/>
  <c r="U155" i="1"/>
  <c r="V155" i="1" s="1"/>
  <c r="W155" i="1" s="1"/>
  <c r="T155" i="1"/>
  <c r="S155" i="1"/>
  <c r="H155" i="1"/>
  <c r="U154" i="1"/>
  <c r="V154" i="1" s="1"/>
  <c r="W154" i="1" s="1"/>
  <c r="T154" i="1"/>
  <c r="S154" i="1"/>
  <c r="H154" i="1"/>
  <c r="U153" i="1"/>
  <c r="T153" i="1"/>
  <c r="S153" i="1"/>
  <c r="H153" i="1"/>
  <c r="U152" i="1"/>
  <c r="T152" i="1"/>
  <c r="V152" i="1" s="1"/>
  <c r="W152" i="1" s="1"/>
  <c r="S152" i="1"/>
  <c r="H152" i="1"/>
  <c r="U151" i="1"/>
  <c r="T151" i="1"/>
  <c r="V151" i="1" s="1"/>
  <c r="W151" i="1" s="1"/>
  <c r="S151" i="1"/>
  <c r="H151" i="1"/>
  <c r="U150" i="1"/>
  <c r="T150" i="1"/>
  <c r="S150" i="1"/>
  <c r="H150" i="1"/>
  <c r="U149" i="1"/>
  <c r="V149" i="1" s="1"/>
  <c r="W149" i="1" s="1"/>
  <c r="T149" i="1"/>
  <c r="S149" i="1"/>
  <c r="H149" i="1"/>
  <c r="U148" i="1"/>
  <c r="T148" i="1"/>
  <c r="S148" i="1"/>
  <c r="H148" i="1"/>
  <c r="U147" i="1"/>
  <c r="V147" i="1" s="1"/>
  <c r="W147" i="1" s="1"/>
  <c r="T147" i="1"/>
  <c r="S147" i="1"/>
  <c r="H147" i="1"/>
  <c r="U146" i="1"/>
  <c r="V146" i="1" s="1"/>
  <c r="W146" i="1" s="1"/>
  <c r="T146" i="1"/>
  <c r="S146" i="1"/>
  <c r="H146" i="1"/>
  <c r="U145" i="1"/>
  <c r="V145" i="1" s="1"/>
  <c r="W145" i="1" s="1"/>
  <c r="T145" i="1"/>
  <c r="S145" i="1"/>
  <c r="H145" i="1"/>
  <c r="U144" i="1"/>
  <c r="V144" i="1" s="1"/>
  <c r="W144" i="1" s="1"/>
  <c r="T144" i="1"/>
  <c r="S144" i="1"/>
  <c r="H144" i="1"/>
  <c r="U143" i="1"/>
  <c r="V143" i="1" s="1"/>
  <c r="W143" i="1" s="1"/>
  <c r="T143" i="1"/>
  <c r="S143" i="1"/>
  <c r="H143" i="1"/>
  <c r="U142" i="1"/>
  <c r="V142" i="1" s="1"/>
  <c r="W142" i="1" s="1"/>
  <c r="T142" i="1"/>
  <c r="S142" i="1"/>
  <c r="H142" i="1"/>
  <c r="W141" i="1"/>
  <c r="U141" i="1"/>
  <c r="T141" i="1"/>
  <c r="V141" i="1" s="1"/>
  <c r="S141" i="1"/>
  <c r="H141" i="1"/>
  <c r="U140" i="1"/>
  <c r="T140" i="1"/>
  <c r="V140" i="1" s="1"/>
  <c r="W140" i="1" s="1"/>
  <c r="S140" i="1"/>
  <c r="H140" i="1"/>
  <c r="U139" i="1"/>
  <c r="V139" i="1" s="1"/>
  <c r="W139" i="1" s="1"/>
  <c r="T139" i="1"/>
  <c r="S139" i="1"/>
  <c r="H139" i="1"/>
  <c r="U138" i="1"/>
  <c r="T138" i="1"/>
  <c r="V138" i="1" s="1"/>
  <c r="W138" i="1" s="1"/>
  <c r="S138" i="1"/>
  <c r="H138" i="1"/>
  <c r="U137" i="1"/>
  <c r="V137" i="1" s="1"/>
  <c r="W137" i="1" s="1"/>
  <c r="T137" i="1"/>
  <c r="S137" i="1"/>
  <c r="H137" i="1"/>
  <c r="U136" i="1"/>
  <c r="V136" i="1" s="1"/>
  <c r="W136" i="1" s="1"/>
  <c r="T136" i="1"/>
  <c r="S136" i="1"/>
  <c r="H136" i="1"/>
  <c r="U135" i="1"/>
  <c r="V135" i="1" s="1"/>
  <c r="W135" i="1" s="1"/>
  <c r="T135" i="1"/>
  <c r="S135" i="1"/>
  <c r="H135" i="1"/>
  <c r="U134" i="1"/>
  <c r="T134" i="1"/>
  <c r="V134" i="1" s="1"/>
  <c r="W134" i="1" s="1"/>
  <c r="S134" i="1"/>
  <c r="H134" i="1"/>
  <c r="V133" i="1"/>
  <c r="W133" i="1" s="1"/>
  <c r="U133" i="1"/>
  <c r="T133" i="1"/>
  <c r="S133" i="1"/>
  <c r="H133" i="1"/>
  <c r="U132" i="1"/>
  <c r="V132" i="1" s="1"/>
  <c r="W132" i="1" s="1"/>
  <c r="T132" i="1"/>
  <c r="S132" i="1"/>
  <c r="H132" i="1"/>
  <c r="U131" i="1"/>
  <c r="V131" i="1" s="1"/>
  <c r="W131" i="1" s="1"/>
  <c r="T131" i="1"/>
  <c r="S131" i="1"/>
  <c r="H131" i="1"/>
  <c r="W130" i="1"/>
  <c r="U130" i="1"/>
  <c r="V130" i="1" s="1"/>
  <c r="T130" i="1"/>
  <c r="S130" i="1"/>
  <c r="H130" i="1"/>
  <c r="U129" i="1"/>
  <c r="V129" i="1" s="1"/>
  <c r="W129" i="1" s="1"/>
  <c r="T129" i="1"/>
  <c r="S129" i="1"/>
  <c r="H129" i="1"/>
  <c r="U128" i="1"/>
  <c r="V128" i="1" s="1"/>
  <c r="W128" i="1" s="1"/>
  <c r="T128" i="1"/>
  <c r="S128" i="1"/>
  <c r="H128" i="1"/>
  <c r="U127" i="1"/>
  <c r="T127" i="1"/>
  <c r="S127" i="1"/>
  <c r="H127" i="1"/>
  <c r="U126" i="1"/>
  <c r="V126" i="1" s="1"/>
  <c r="W126" i="1" s="1"/>
  <c r="T126" i="1"/>
  <c r="S126" i="1"/>
  <c r="H126" i="1"/>
  <c r="U125" i="1"/>
  <c r="V125" i="1" s="1"/>
  <c r="W125" i="1" s="1"/>
  <c r="T125" i="1"/>
  <c r="S125" i="1"/>
  <c r="H125" i="1"/>
  <c r="U124" i="1"/>
  <c r="V124" i="1" s="1"/>
  <c r="W124" i="1" s="1"/>
  <c r="T124" i="1"/>
  <c r="S124" i="1"/>
  <c r="H124" i="1"/>
  <c r="U123" i="1"/>
  <c r="V123" i="1" s="1"/>
  <c r="W123" i="1" s="1"/>
  <c r="T123" i="1"/>
  <c r="S123" i="1"/>
  <c r="H123" i="1"/>
  <c r="U122" i="1"/>
  <c r="T122" i="1"/>
  <c r="V122" i="1" s="1"/>
  <c r="W122" i="1" s="1"/>
  <c r="S122" i="1"/>
  <c r="H122" i="1"/>
  <c r="U121" i="1"/>
  <c r="V121" i="1" s="1"/>
  <c r="W121" i="1" s="1"/>
  <c r="T121" i="1"/>
  <c r="S121" i="1"/>
  <c r="H121" i="1"/>
  <c r="U120" i="1"/>
  <c r="V120" i="1" s="1"/>
  <c r="W120" i="1" s="1"/>
  <c r="T120" i="1"/>
  <c r="S120" i="1"/>
  <c r="H120" i="1"/>
  <c r="U119" i="1"/>
  <c r="V119" i="1" s="1"/>
  <c r="W119" i="1" s="1"/>
  <c r="T119" i="1"/>
  <c r="S119" i="1"/>
  <c r="H119" i="1"/>
  <c r="U118" i="1"/>
  <c r="V118" i="1" s="1"/>
  <c r="W118" i="1" s="1"/>
  <c r="T118" i="1"/>
  <c r="S118" i="1"/>
  <c r="H118" i="1"/>
  <c r="U117" i="1"/>
  <c r="V117" i="1" s="1"/>
  <c r="W117" i="1" s="1"/>
  <c r="T117" i="1"/>
  <c r="S117" i="1"/>
  <c r="H117" i="1"/>
  <c r="U116" i="1"/>
  <c r="V116" i="1" s="1"/>
  <c r="W116" i="1" s="1"/>
  <c r="T116" i="1"/>
  <c r="S116" i="1"/>
  <c r="H116" i="1"/>
  <c r="U115" i="1"/>
  <c r="V115" i="1" s="1"/>
  <c r="W115" i="1" s="1"/>
  <c r="T115" i="1"/>
  <c r="S115" i="1"/>
  <c r="H115" i="1"/>
  <c r="U114" i="1"/>
  <c r="V114" i="1" s="1"/>
  <c r="W114" i="1" s="1"/>
  <c r="T114" i="1"/>
  <c r="S114" i="1"/>
  <c r="H114" i="1"/>
  <c r="W113" i="1"/>
  <c r="U113" i="1"/>
  <c r="T113" i="1"/>
  <c r="V113" i="1" s="1"/>
  <c r="S113" i="1"/>
  <c r="H113" i="1"/>
  <c r="U112" i="1"/>
  <c r="V112" i="1" s="1"/>
  <c r="W112" i="1" s="1"/>
  <c r="T112" i="1"/>
  <c r="S112" i="1"/>
  <c r="H112" i="1"/>
  <c r="U111" i="1"/>
  <c r="T111" i="1"/>
  <c r="V111" i="1" s="1"/>
  <c r="W111" i="1" s="1"/>
  <c r="S111" i="1"/>
  <c r="H111" i="1"/>
  <c r="U110" i="1"/>
  <c r="V110" i="1" s="1"/>
  <c r="W110" i="1" s="1"/>
  <c r="T110" i="1"/>
  <c r="S110" i="1"/>
  <c r="H110" i="1"/>
  <c r="U109" i="1"/>
  <c r="T109" i="1"/>
  <c r="V109" i="1" s="1"/>
  <c r="W109" i="1" s="1"/>
  <c r="S109" i="1"/>
  <c r="H109" i="1"/>
  <c r="U108" i="1"/>
  <c r="T108" i="1"/>
  <c r="V108" i="1" s="1"/>
  <c r="W108" i="1" s="1"/>
  <c r="S108" i="1"/>
  <c r="H108" i="1"/>
  <c r="U107" i="1"/>
  <c r="V107" i="1" s="1"/>
  <c r="W107" i="1" s="1"/>
  <c r="T107" i="1"/>
  <c r="S107" i="1"/>
  <c r="H107" i="1"/>
  <c r="U106" i="1"/>
  <c r="V106" i="1" s="1"/>
  <c r="W106" i="1" s="1"/>
  <c r="T106" i="1"/>
  <c r="S106" i="1"/>
  <c r="H106" i="1"/>
  <c r="U105" i="1"/>
  <c r="T105" i="1"/>
  <c r="V105" i="1" s="1"/>
  <c r="W105" i="1" s="1"/>
  <c r="S105" i="1"/>
  <c r="H105" i="1"/>
  <c r="U104" i="1"/>
  <c r="V104" i="1" s="1"/>
  <c r="W104" i="1" s="1"/>
  <c r="T104" i="1"/>
  <c r="S104" i="1"/>
  <c r="H104" i="1"/>
  <c r="U103" i="1"/>
  <c r="V103" i="1" s="1"/>
  <c r="W103" i="1" s="1"/>
  <c r="T103" i="1"/>
  <c r="S103" i="1"/>
  <c r="H103" i="1"/>
  <c r="U102" i="1"/>
  <c r="T102" i="1"/>
  <c r="V102" i="1" s="1"/>
  <c r="W102" i="1" s="1"/>
  <c r="S102" i="1"/>
  <c r="H102" i="1"/>
  <c r="W101" i="1"/>
  <c r="V101" i="1"/>
  <c r="U101" i="1"/>
  <c r="T101" i="1"/>
  <c r="S101" i="1"/>
  <c r="H101" i="1"/>
  <c r="U100" i="1"/>
  <c r="V100" i="1" s="1"/>
  <c r="W100" i="1" s="1"/>
  <c r="T100" i="1"/>
  <c r="S100" i="1"/>
  <c r="H100" i="1"/>
  <c r="U99" i="1"/>
  <c r="V99" i="1" s="1"/>
  <c r="W99" i="1" s="1"/>
  <c r="T99" i="1"/>
  <c r="S99" i="1"/>
  <c r="H99" i="1"/>
  <c r="W98" i="1"/>
  <c r="V98" i="1"/>
  <c r="U98" i="1"/>
  <c r="T98" i="1"/>
  <c r="S98" i="1"/>
  <c r="H98" i="1"/>
  <c r="U97" i="1"/>
  <c r="T97" i="1"/>
  <c r="V97" i="1" s="1"/>
  <c r="W97" i="1" s="1"/>
  <c r="S97" i="1"/>
  <c r="H97" i="1"/>
  <c r="U96" i="1"/>
  <c r="V96" i="1" s="1"/>
  <c r="W96" i="1" s="1"/>
  <c r="T96" i="1"/>
  <c r="S96" i="1"/>
  <c r="H96" i="1"/>
  <c r="U95" i="1"/>
  <c r="T95" i="1"/>
  <c r="V95" i="1" s="1"/>
  <c r="W95" i="1" s="1"/>
  <c r="S95" i="1"/>
  <c r="H95" i="1"/>
  <c r="U94" i="1"/>
  <c r="V94" i="1" s="1"/>
  <c r="W94" i="1" s="1"/>
  <c r="T94" i="1"/>
  <c r="S94" i="1"/>
  <c r="H94" i="1"/>
  <c r="U93" i="1"/>
  <c r="V93" i="1" s="1"/>
  <c r="W93" i="1" s="1"/>
  <c r="T93" i="1"/>
  <c r="S93" i="1"/>
  <c r="H93" i="1"/>
  <c r="U92" i="1"/>
  <c r="V92" i="1" s="1"/>
  <c r="W92" i="1" s="1"/>
  <c r="T92" i="1"/>
  <c r="S92" i="1"/>
  <c r="H92" i="1"/>
  <c r="V91" i="1"/>
  <c r="W91" i="1" s="1"/>
  <c r="U91" i="1"/>
  <c r="T91" i="1"/>
  <c r="S91" i="1"/>
  <c r="H91" i="1"/>
  <c r="U90" i="1"/>
  <c r="V90" i="1" s="1"/>
  <c r="W90" i="1" s="1"/>
  <c r="T90" i="1"/>
  <c r="S90" i="1"/>
  <c r="H90" i="1"/>
  <c r="V89" i="1"/>
  <c r="W89" i="1" s="1"/>
  <c r="U89" i="1"/>
  <c r="T89" i="1"/>
  <c r="S89" i="1"/>
  <c r="H89" i="1"/>
  <c r="U88" i="1"/>
  <c r="V88" i="1" s="1"/>
  <c r="W88" i="1" s="1"/>
  <c r="T88" i="1"/>
  <c r="S88" i="1"/>
  <c r="H88" i="1"/>
  <c r="U87" i="1"/>
  <c r="V87" i="1" s="1"/>
  <c r="W87" i="1" s="1"/>
  <c r="T87" i="1"/>
  <c r="S87" i="1"/>
  <c r="H87" i="1"/>
  <c r="W86" i="1"/>
  <c r="V86" i="1"/>
  <c r="U86" i="1"/>
  <c r="T86" i="1"/>
  <c r="S86" i="1"/>
  <c r="H86" i="1"/>
  <c r="U85" i="1"/>
  <c r="V85" i="1" s="1"/>
  <c r="W85" i="1" s="1"/>
  <c r="T85" i="1"/>
  <c r="S85" i="1"/>
  <c r="H85" i="1"/>
  <c r="V84" i="1"/>
  <c r="W84" i="1" s="1"/>
  <c r="U84" i="1"/>
  <c r="T84" i="1"/>
  <c r="S84" i="1"/>
  <c r="H84" i="1"/>
  <c r="W83" i="1"/>
  <c r="U83" i="1"/>
  <c r="T83" i="1"/>
  <c r="S83" i="1"/>
  <c r="H83" i="1"/>
  <c r="U82" i="1"/>
  <c r="T82" i="1"/>
  <c r="V82" i="1" s="1"/>
  <c r="W82" i="1" s="1"/>
  <c r="S82" i="1"/>
  <c r="H82" i="1"/>
  <c r="U81" i="1"/>
  <c r="T81" i="1"/>
  <c r="V81" i="1" s="1"/>
  <c r="W81" i="1" s="1"/>
  <c r="S81" i="1"/>
  <c r="H81" i="1"/>
  <c r="U80" i="1"/>
  <c r="T80" i="1"/>
  <c r="V80" i="1" s="1"/>
  <c r="W80" i="1" s="1"/>
  <c r="S80" i="1"/>
  <c r="H80" i="1"/>
  <c r="U79" i="1"/>
  <c r="V79" i="1" s="1"/>
  <c r="W79" i="1" s="1"/>
  <c r="T79" i="1"/>
  <c r="S79" i="1"/>
  <c r="H79" i="1"/>
  <c r="U78" i="1"/>
  <c r="V78" i="1" s="1"/>
  <c r="W78" i="1" s="1"/>
  <c r="T78" i="1"/>
  <c r="S78" i="1"/>
  <c r="H78" i="1"/>
  <c r="U77" i="1"/>
  <c r="V77" i="1" s="1"/>
  <c r="W77" i="1" s="1"/>
  <c r="T77" i="1"/>
  <c r="S77" i="1"/>
  <c r="H77" i="1"/>
  <c r="V76" i="1"/>
  <c r="W76" i="1" s="1"/>
  <c r="U76" i="1"/>
  <c r="T76" i="1"/>
  <c r="S76" i="1"/>
  <c r="H76" i="1"/>
  <c r="U75" i="1"/>
  <c r="T75" i="1"/>
  <c r="V75" i="1" s="1"/>
  <c r="W75" i="1" s="1"/>
  <c r="S75" i="1"/>
  <c r="H75" i="1"/>
  <c r="V74" i="1"/>
  <c r="W74" i="1" s="1"/>
  <c r="U74" i="1"/>
  <c r="T74" i="1"/>
  <c r="S74" i="1"/>
  <c r="H74" i="1"/>
  <c r="U73" i="1"/>
  <c r="V73" i="1" s="1"/>
  <c r="W73" i="1" s="1"/>
  <c r="T73" i="1"/>
  <c r="S73" i="1"/>
  <c r="H73" i="1"/>
  <c r="U72" i="1"/>
  <c r="V72" i="1" s="1"/>
  <c r="W72" i="1" s="1"/>
  <c r="T72" i="1"/>
  <c r="S72" i="1"/>
  <c r="H72" i="1"/>
  <c r="W71" i="1"/>
  <c r="V71" i="1"/>
  <c r="U71" i="1"/>
  <c r="T71" i="1"/>
  <c r="S71" i="1"/>
  <c r="H71" i="1"/>
  <c r="W70" i="1"/>
  <c r="V70" i="1"/>
  <c r="U70" i="1"/>
  <c r="T70" i="1"/>
  <c r="S70" i="1"/>
  <c r="H70" i="1"/>
  <c r="U69" i="1"/>
  <c r="V69" i="1" s="1"/>
  <c r="W69" i="1" s="1"/>
  <c r="T69" i="1"/>
  <c r="S69" i="1"/>
  <c r="H69" i="1"/>
  <c r="U68" i="1"/>
  <c r="V68" i="1" s="1"/>
  <c r="W68" i="1" s="1"/>
  <c r="T68" i="1"/>
  <c r="S68" i="1"/>
  <c r="H68" i="1"/>
  <c r="U67" i="1"/>
  <c r="V67" i="1" s="1"/>
  <c r="W67" i="1" s="1"/>
  <c r="T67" i="1"/>
  <c r="S67" i="1"/>
  <c r="H67" i="1"/>
  <c r="U66" i="1"/>
  <c r="V66" i="1" s="1"/>
  <c r="W66" i="1" s="1"/>
  <c r="T66" i="1"/>
  <c r="S66" i="1"/>
  <c r="H66" i="1"/>
  <c r="U65" i="1"/>
  <c r="V65" i="1" s="1"/>
  <c r="W65" i="1" s="1"/>
  <c r="T65" i="1"/>
  <c r="S65" i="1"/>
  <c r="H65" i="1"/>
  <c r="U64" i="1"/>
  <c r="V64" i="1" s="1"/>
  <c r="W64" i="1" s="1"/>
  <c r="T64" i="1"/>
  <c r="S64" i="1"/>
  <c r="H64" i="1"/>
  <c r="U63" i="1"/>
  <c r="T63" i="1"/>
  <c r="V63" i="1" s="1"/>
  <c r="W63" i="1" s="1"/>
  <c r="S63" i="1"/>
  <c r="H63" i="1"/>
  <c r="U62" i="1"/>
  <c r="T62" i="1"/>
  <c r="V62" i="1" s="1"/>
  <c r="W62" i="1" s="1"/>
  <c r="S62" i="1"/>
  <c r="H62" i="1"/>
  <c r="U61" i="1"/>
  <c r="T61" i="1"/>
  <c r="V61" i="1" s="1"/>
  <c r="W61" i="1" s="1"/>
  <c r="S61" i="1"/>
  <c r="H61" i="1"/>
  <c r="V60" i="1"/>
  <c r="W60" i="1" s="1"/>
  <c r="U60" i="1"/>
  <c r="T60" i="1"/>
  <c r="S60" i="1"/>
  <c r="H60" i="1"/>
  <c r="U59" i="1"/>
  <c r="T59" i="1"/>
  <c r="S59" i="1"/>
  <c r="H59" i="1"/>
  <c r="U58" i="1"/>
  <c r="V58" i="1" s="1"/>
  <c r="W58" i="1" s="1"/>
  <c r="T58" i="1"/>
  <c r="S58" i="1"/>
  <c r="H58" i="1"/>
  <c r="V57" i="1"/>
  <c r="W57" i="1" s="1"/>
  <c r="U57" i="1"/>
  <c r="T57" i="1"/>
  <c r="S57" i="1"/>
  <c r="H57" i="1"/>
  <c r="U56" i="1"/>
  <c r="V56" i="1" s="1"/>
  <c r="W56" i="1" s="1"/>
  <c r="T56" i="1"/>
  <c r="S56" i="1"/>
  <c r="H56" i="1"/>
  <c r="U55" i="1"/>
  <c r="V55" i="1" s="1"/>
  <c r="W55" i="1" s="1"/>
  <c r="T55" i="1"/>
  <c r="S55" i="1"/>
  <c r="H55" i="1"/>
  <c r="W54" i="1"/>
  <c r="U54" i="1"/>
  <c r="V54" i="1" s="1"/>
  <c r="T54" i="1"/>
  <c r="S54" i="1"/>
  <c r="H54" i="1"/>
  <c r="U53" i="1"/>
  <c r="V53" i="1" s="1"/>
  <c r="W53" i="1" s="1"/>
  <c r="T53" i="1"/>
  <c r="S53" i="1"/>
  <c r="H53" i="1"/>
  <c r="U52" i="1"/>
  <c r="V52" i="1" s="1"/>
  <c r="W52" i="1" s="1"/>
  <c r="T52" i="1"/>
  <c r="S52" i="1"/>
  <c r="H52" i="1"/>
  <c r="W51" i="1"/>
  <c r="V51" i="1"/>
  <c r="U51" i="1"/>
  <c r="T51" i="1"/>
  <c r="S51" i="1"/>
  <c r="H51" i="1"/>
  <c r="W50" i="1"/>
  <c r="U50" i="1"/>
  <c r="T50" i="1"/>
  <c r="S50" i="1"/>
  <c r="H50" i="1"/>
  <c r="V49" i="1"/>
  <c r="W49" i="1" s="1"/>
  <c r="U49" i="1"/>
  <c r="T49" i="1"/>
  <c r="S49" i="1"/>
  <c r="H49" i="1"/>
  <c r="U48" i="1"/>
  <c r="V48" i="1" s="1"/>
  <c r="W48" i="1" s="1"/>
  <c r="T48" i="1"/>
  <c r="S48" i="1"/>
  <c r="H48" i="1"/>
  <c r="U47" i="1"/>
  <c r="V47" i="1" s="1"/>
  <c r="W47" i="1" s="1"/>
  <c r="T47" i="1"/>
  <c r="S47" i="1"/>
  <c r="H47" i="1"/>
  <c r="W46" i="1"/>
  <c r="V46" i="1"/>
  <c r="U46" i="1"/>
  <c r="T46" i="1"/>
  <c r="S46" i="1"/>
  <c r="H46" i="1"/>
  <c r="U45" i="1"/>
  <c r="V45" i="1" s="1"/>
  <c r="W45" i="1" s="1"/>
  <c r="T45" i="1"/>
  <c r="S45" i="1"/>
  <c r="H45" i="1"/>
  <c r="U44" i="1"/>
  <c r="V44" i="1" s="1"/>
  <c r="W44" i="1" s="1"/>
  <c r="T44" i="1"/>
  <c r="S44" i="1"/>
  <c r="H44" i="1"/>
  <c r="U43" i="1"/>
  <c r="V43" i="1" s="1"/>
  <c r="W43" i="1" s="1"/>
  <c r="T43" i="1"/>
  <c r="S43" i="1"/>
  <c r="H43" i="1"/>
  <c r="V42" i="1"/>
  <c r="W42" i="1" s="1"/>
  <c r="U42" i="1"/>
  <c r="T42" i="1"/>
  <c r="S42" i="1"/>
  <c r="H42" i="1"/>
  <c r="U41" i="1"/>
  <c r="V41" i="1" s="1"/>
  <c r="W41" i="1" s="1"/>
  <c r="T41" i="1"/>
  <c r="S41" i="1"/>
  <c r="H41" i="1"/>
  <c r="U40" i="1"/>
  <c r="V40" i="1" s="1"/>
  <c r="W40" i="1" s="1"/>
  <c r="T40" i="1"/>
  <c r="S40" i="1"/>
  <c r="H40" i="1"/>
  <c r="U39" i="1"/>
  <c r="V39" i="1" s="1"/>
  <c r="W39" i="1" s="1"/>
  <c r="T39" i="1"/>
  <c r="S39" i="1"/>
  <c r="H39" i="1"/>
  <c r="U38" i="1"/>
  <c r="V38" i="1" s="1"/>
  <c r="W38" i="1" s="1"/>
  <c r="T38" i="1"/>
  <c r="S38" i="1"/>
  <c r="H38" i="1"/>
  <c r="U37" i="1"/>
  <c r="V37" i="1" s="1"/>
  <c r="W37" i="1" s="1"/>
  <c r="T37" i="1"/>
  <c r="S37" i="1"/>
  <c r="H37" i="1"/>
  <c r="U36" i="1"/>
  <c r="V36" i="1" s="1"/>
  <c r="W36" i="1" s="1"/>
  <c r="T36" i="1"/>
  <c r="S36" i="1"/>
  <c r="H36" i="1"/>
  <c r="U35" i="1"/>
  <c r="V35" i="1" s="1"/>
  <c r="W35" i="1" s="1"/>
  <c r="T35" i="1"/>
  <c r="S35" i="1"/>
  <c r="H35" i="1"/>
  <c r="U34" i="1"/>
  <c r="V34" i="1" s="1"/>
  <c r="W34" i="1" s="1"/>
  <c r="T34" i="1"/>
  <c r="S34" i="1"/>
  <c r="H34" i="1"/>
  <c r="V33" i="1"/>
  <c r="W33" i="1" s="1"/>
  <c r="U33" i="1"/>
  <c r="T33" i="1"/>
  <c r="S33" i="1"/>
  <c r="H33" i="1"/>
  <c r="U32" i="1"/>
  <c r="V32" i="1" s="1"/>
  <c r="W32" i="1" s="1"/>
  <c r="T32" i="1"/>
  <c r="S32" i="1"/>
  <c r="H32" i="1"/>
  <c r="U31" i="1"/>
  <c r="V31" i="1" s="1"/>
  <c r="W31" i="1" s="1"/>
  <c r="T31" i="1"/>
  <c r="S31" i="1"/>
  <c r="H31" i="1"/>
  <c r="U30" i="1"/>
  <c r="V30" i="1" s="1"/>
  <c r="W30" i="1" s="1"/>
  <c r="T30" i="1"/>
  <c r="S30" i="1"/>
  <c r="H30" i="1"/>
  <c r="U29" i="1"/>
  <c r="V29" i="1" s="1"/>
  <c r="W29" i="1" s="1"/>
  <c r="T29" i="1"/>
  <c r="S29" i="1"/>
  <c r="H29" i="1"/>
  <c r="U28" i="1"/>
  <c r="V28" i="1" s="1"/>
  <c r="W28" i="1" s="1"/>
  <c r="T28" i="1"/>
  <c r="S28" i="1"/>
  <c r="H28" i="1"/>
  <c r="U27" i="1"/>
  <c r="V27" i="1" s="1"/>
  <c r="W27" i="1" s="1"/>
  <c r="T27" i="1"/>
  <c r="S27" i="1"/>
  <c r="H27" i="1"/>
  <c r="U26" i="1"/>
  <c r="T26" i="1"/>
  <c r="S26" i="1"/>
  <c r="H26" i="1"/>
  <c r="U25" i="1"/>
  <c r="V25" i="1" s="1"/>
  <c r="W25" i="1" s="1"/>
  <c r="T25" i="1"/>
  <c r="S25" i="1"/>
  <c r="H25" i="1"/>
  <c r="U24" i="1"/>
  <c r="T24" i="1"/>
  <c r="S24" i="1"/>
  <c r="H24" i="1"/>
  <c r="U23" i="1"/>
  <c r="T23" i="1"/>
  <c r="V23" i="1" s="1"/>
  <c r="W23" i="1" s="1"/>
  <c r="S23" i="1"/>
  <c r="H23" i="1"/>
  <c r="U22" i="1"/>
  <c r="T22" i="1"/>
  <c r="S22" i="1"/>
  <c r="H22" i="1"/>
  <c r="U21" i="1"/>
  <c r="V21" i="1" s="1"/>
  <c r="W21" i="1" s="1"/>
  <c r="T21" i="1"/>
  <c r="S21" i="1"/>
  <c r="H21" i="1"/>
  <c r="U20" i="1"/>
  <c r="V20" i="1" s="1"/>
  <c r="W20" i="1" s="1"/>
  <c r="T20" i="1"/>
  <c r="S20" i="1"/>
  <c r="H20" i="1"/>
  <c r="U19" i="1"/>
  <c r="V19" i="1" s="1"/>
  <c r="W19" i="1" s="1"/>
  <c r="T19" i="1"/>
  <c r="S19" i="1"/>
  <c r="H19" i="1"/>
  <c r="U18" i="1"/>
  <c r="V18" i="1" s="1"/>
  <c r="W18" i="1" s="1"/>
  <c r="T18" i="1"/>
  <c r="S18" i="1"/>
  <c r="H18" i="1"/>
  <c r="U17" i="1"/>
  <c r="V17" i="1" s="1"/>
  <c r="W17" i="1" s="1"/>
  <c r="T17" i="1"/>
  <c r="S17" i="1"/>
  <c r="H17" i="1"/>
  <c r="U16" i="1"/>
  <c r="V16" i="1" s="1"/>
  <c r="W16" i="1" s="1"/>
  <c r="T16" i="1"/>
  <c r="S16" i="1"/>
  <c r="H16" i="1"/>
  <c r="U15" i="1"/>
  <c r="V15" i="1" s="1"/>
  <c r="W15" i="1" s="1"/>
  <c r="T15" i="1"/>
  <c r="S15" i="1"/>
  <c r="H15" i="1"/>
  <c r="U14" i="1"/>
  <c r="V14" i="1" s="1"/>
  <c r="W14" i="1" s="1"/>
  <c r="T14" i="1"/>
  <c r="S14" i="1"/>
  <c r="H14" i="1"/>
  <c r="U13" i="1"/>
  <c r="V13" i="1" s="1"/>
  <c r="W13" i="1" s="1"/>
  <c r="T13" i="1"/>
  <c r="S13" i="1"/>
  <c r="H13" i="1"/>
  <c r="U12" i="1"/>
  <c r="V12" i="1" s="1"/>
  <c r="W12" i="1" s="1"/>
  <c r="T12" i="1"/>
  <c r="S12" i="1"/>
  <c r="H12" i="1"/>
  <c r="V11" i="1"/>
  <c r="W11" i="1" s="1"/>
  <c r="U11" i="1"/>
  <c r="T11" i="1"/>
  <c r="S11" i="1"/>
  <c r="H11" i="1"/>
  <c r="U10" i="1"/>
  <c r="T10" i="1"/>
  <c r="S10" i="1"/>
  <c r="H10" i="1"/>
  <c r="U9" i="1"/>
  <c r="V9" i="1" s="1"/>
  <c r="W9" i="1" s="1"/>
  <c r="T9" i="1"/>
  <c r="S9" i="1"/>
  <c r="H9" i="1"/>
  <c r="U8" i="1"/>
  <c r="T8" i="1"/>
  <c r="S8" i="1"/>
  <c r="H8" i="1"/>
  <c r="U7" i="1"/>
  <c r="V7" i="1" s="1"/>
  <c r="W7" i="1" s="1"/>
  <c r="T7" i="1"/>
  <c r="S7" i="1"/>
  <c r="H7" i="1"/>
  <c r="U6" i="1"/>
  <c r="T6" i="1"/>
  <c r="S6" i="1"/>
  <c r="H6" i="1"/>
  <c r="V5" i="1"/>
  <c r="W5" i="1" s="1"/>
  <c r="U5" i="1"/>
  <c r="T5" i="1"/>
  <c r="S5" i="1"/>
  <c r="H5" i="1"/>
  <c r="U4" i="1"/>
  <c r="V4" i="1" s="1"/>
  <c r="W4" i="1" s="1"/>
  <c r="T4" i="1"/>
  <c r="S4" i="1"/>
  <c r="H4" i="1"/>
  <c r="V3" i="1"/>
  <c r="W3" i="1" s="1"/>
  <c r="U3" i="1"/>
  <c r="T3" i="1"/>
  <c r="S3" i="1"/>
  <c r="H3" i="1"/>
  <c r="U2" i="1"/>
  <c r="V2" i="1" s="1"/>
  <c r="W2" i="1" s="1"/>
  <c r="T2" i="1"/>
  <c r="S2" i="1"/>
  <c r="V352" i="1" l="1"/>
  <c r="W352" i="1" s="1"/>
  <c r="V424" i="1"/>
  <c r="W424" i="1" s="1"/>
  <c r="V6" i="1"/>
  <c r="W6" i="1" s="1"/>
  <c r="V354" i="1"/>
  <c r="W354" i="1" s="1"/>
  <c r="V159" i="1"/>
  <c r="W159" i="1" s="1"/>
  <c r="V176" i="1"/>
  <c r="W176" i="1" s="1"/>
  <c r="V212" i="1"/>
  <c r="W212" i="1" s="1"/>
  <c r="V332" i="1"/>
  <c r="W332" i="1" s="1"/>
  <c r="V150" i="1"/>
  <c r="W150" i="1" s="1"/>
  <c r="V325" i="1"/>
  <c r="W325" i="1" s="1"/>
  <c r="V24" i="1"/>
  <c r="W24" i="1" s="1"/>
  <c r="V127" i="1"/>
  <c r="W127" i="1" s="1"/>
  <c r="V197" i="1"/>
  <c r="W197" i="1" s="1"/>
  <c r="V8" i="1"/>
  <c r="W8" i="1" s="1"/>
  <c r="V326" i="1"/>
  <c r="W326" i="1" s="1"/>
  <c r="V148" i="1"/>
  <c r="W148" i="1" s="1"/>
  <c r="V309" i="1"/>
  <c r="W309" i="1" s="1"/>
  <c r="V165" i="1"/>
  <c r="W165" i="1" s="1"/>
  <c r="V353" i="1"/>
  <c r="W353" i="1" s="1"/>
  <c r="V26" i="1"/>
  <c r="W26" i="1" s="1"/>
  <c r="V10" i="1"/>
  <c r="W10" i="1" s="1"/>
  <c r="V167" i="1"/>
  <c r="W167" i="1" s="1"/>
  <c r="V360" i="1"/>
  <c r="W360" i="1" s="1"/>
  <c r="V59" i="1"/>
  <c r="W59" i="1" s="1"/>
  <c r="V22" i="1"/>
  <c r="W22" i="1" s="1"/>
  <c r="V323" i="1"/>
  <c r="W323" i="1" s="1"/>
  <c r="V153" i="1"/>
  <c r="W153" i="1" s="1"/>
</calcChain>
</file>

<file path=xl/sharedStrings.xml><?xml version="1.0" encoding="utf-8"?>
<sst xmlns="http://schemas.openxmlformats.org/spreadsheetml/2006/main" count="5235" uniqueCount="758">
  <si>
    <t>no</t>
  </si>
  <si>
    <t>site_name</t>
  </si>
  <si>
    <t>vessel_number</t>
  </si>
  <si>
    <t>date</t>
  </si>
  <si>
    <t>bc_ad</t>
  </si>
  <si>
    <t>start_date</t>
  </si>
  <si>
    <t>end_date</t>
  </si>
  <si>
    <t>midpoint</t>
  </si>
  <si>
    <t>type_category</t>
  </si>
  <si>
    <t>size_category</t>
  </si>
  <si>
    <t>rim_category</t>
  </si>
  <si>
    <t>rim_collapsed</t>
  </si>
  <si>
    <t>base_category</t>
  </si>
  <si>
    <t>attributes</t>
  </si>
  <si>
    <t>reconstruction</t>
  </si>
  <si>
    <t>orifice_diameter</t>
  </si>
  <si>
    <t>vessel_height</t>
  </si>
  <si>
    <t>vessel_width</t>
  </si>
  <si>
    <t>actual_diameter</t>
  </si>
  <si>
    <t>actual_height</t>
  </si>
  <si>
    <t>actual_width</t>
  </si>
  <si>
    <t>volume_cm3</t>
  </si>
  <si>
    <t>litres</t>
  </si>
  <si>
    <t>Ounjougou</t>
  </si>
  <si>
    <t>V1</t>
  </si>
  <si>
    <t>BC</t>
  </si>
  <si>
    <t>b</t>
  </si>
  <si>
    <t>Sr</t>
  </si>
  <si>
    <t>S</t>
  </si>
  <si>
    <t>R2</t>
  </si>
  <si>
    <t>V2</t>
  </si>
  <si>
    <t>2700-2020</t>
  </si>
  <si>
    <t>d</t>
  </si>
  <si>
    <t>V3</t>
  </si>
  <si>
    <t>c</t>
  </si>
  <si>
    <t>V4</t>
  </si>
  <si>
    <t>1800-800</t>
  </si>
  <si>
    <t>Itf</t>
  </si>
  <si>
    <t>It</t>
  </si>
  <si>
    <t>Bro</t>
  </si>
  <si>
    <t>R1</t>
  </si>
  <si>
    <t>V5</t>
  </si>
  <si>
    <t>Es</t>
  </si>
  <si>
    <t>E</t>
  </si>
  <si>
    <t>R3</t>
  </si>
  <si>
    <t>V6</t>
  </si>
  <si>
    <t>V7</t>
  </si>
  <si>
    <t>V8</t>
  </si>
  <si>
    <t>Akumbu</t>
  </si>
  <si>
    <t>V9</t>
  </si>
  <si>
    <t>500-600</t>
  </si>
  <si>
    <t>AD</t>
  </si>
  <si>
    <t>V10</t>
  </si>
  <si>
    <t>V11</t>
  </si>
  <si>
    <t>V12</t>
  </si>
  <si>
    <t>V13</t>
  </si>
  <si>
    <t>Efl</t>
  </si>
  <si>
    <t>V14</t>
  </si>
  <si>
    <t>V15</t>
  </si>
  <si>
    <t>Vs</t>
  </si>
  <si>
    <t>V</t>
  </si>
  <si>
    <t>V16</t>
  </si>
  <si>
    <t>600-1400</t>
  </si>
  <si>
    <t>V17</t>
  </si>
  <si>
    <t>V18</t>
  </si>
  <si>
    <t>a</t>
  </si>
  <si>
    <t>V19</t>
  </si>
  <si>
    <t>V20</t>
  </si>
  <si>
    <t>Sf</t>
  </si>
  <si>
    <t>V21</t>
  </si>
  <si>
    <t>V22</t>
  </si>
  <si>
    <t>R4</t>
  </si>
  <si>
    <t>V23</t>
  </si>
  <si>
    <t>V24</t>
  </si>
  <si>
    <t>V25</t>
  </si>
  <si>
    <t>V26</t>
  </si>
  <si>
    <t>V27</t>
  </si>
  <si>
    <t>Oth</t>
  </si>
  <si>
    <t>V28</t>
  </si>
  <si>
    <t>V29</t>
  </si>
  <si>
    <t>V30</t>
  </si>
  <si>
    <t>e</t>
  </si>
  <si>
    <t>V31</t>
  </si>
  <si>
    <t>V32</t>
  </si>
  <si>
    <t>V33</t>
  </si>
  <si>
    <t>V34</t>
  </si>
  <si>
    <t>V35</t>
  </si>
  <si>
    <t>V36</t>
  </si>
  <si>
    <t>V37</t>
  </si>
  <si>
    <t>V38</t>
  </si>
  <si>
    <t>V39</t>
  </si>
  <si>
    <t>V40</t>
  </si>
  <si>
    <t>V41</t>
  </si>
  <si>
    <t>V42</t>
  </si>
  <si>
    <t>V43</t>
  </si>
  <si>
    <t>V44</t>
  </si>
  <si>
    <t>Ec</t>
  </si>
  <si>
    <t>V45</t>
  </si>
  <si>
    <t>V46</t>
  </si>
  <si>
    <t>Pl</t>
  </si>
  <si>
    <t>V47</t>
  </si>
  <si>
    <t>Y</t>
  </si>
  <si>
    <t>V48</t>
  </si>
  <si>
    <t>V49</t>
  </si>
  <si>
    <t>V50</t>
  </si>
  <si>
    <t>V51</t>
  </si>
  <si>
    <t>V52</t>
  </si>
  <si>
    <t>1600-1700</t>
  </si>
  <si>
    <t>Otc</t>
  </si>
  <si>
    <t>Ot</t>
  </si>
  <si>
    <t>V53</t>
  </si>
  <si>
    <t>V54</t>
  </si>
  <si>
    <t>V55</t>
  </si>
  <si>
    <t>V56</t>
  </si>
  <si>
    <t>Dia Mare</t>
  </si>
  <si>
    <t>V57</t>
  </si>
  <si>
    <t>500-1000</t>
  </si>
  <si>
    <t>V58</t>
  </si>
  <si>
    <t>V59</t>
  </si>
  <si>
    <t>1000-1600</t>
  </si>
  <si>
    <t>V60</t>
  </si>
  <si>
    <t>V61</t>
  </si>
  <si>
    <t>V62</t>
  </si>
  <si>
    <t>V63</t>
  </si>
  <si>
    <t>Dia Shoma</t>
  </si>
  <si>
    <t>V64</t>
  </si>
  <si>
    <t>800-200</t>
  </si>
  <si>
    <t>V65</t>
  </si>
  <si>
    <t>V66</t>
  </si>
  <si>
    <t>V67</t>
  </si>
  <si>
    <t>V68</t>
  </si>
  <si>
    <t>V69</t>
  </si>
  <si>
    <t>Bpo</t>
  </si>
  <si>
    <t>V70</t>
  </si>
  <si>
    <t>V71</t>
  </si>
  <si>
    <t>V72</t>
  </si>
  <si>
    <t>V73</t>
  </si>
  <si>
    <t>Tc</t>
  </si>
  <si>
    <t>T</t>
  </si>
  <si>
    <t>V74</t>
  </si>
  <si>
    <t>Br</t>
  </si>
  <si>
    <t>V75</t>
  </si>
  <si>
    <t>V76</t>
  </si>
  <si>
    <t>V77</t>
  </si>
  <si>
    <t>Gao Saney</t>
  </si>
  <si>
    <t>V78</t>
  </si>
  <si>
    <t>700-1100</t>
  </si>
  <si>
    <t>V79</t>
  </si>
  <si>
    <t>V80</t>
  </si>
  <si>
    <t>V81</t>
  </si>
  <si>
    <t>V82</t>
  </si>
  <si>
    <t>V83</t>
  </si>
  <si>
    <t>V84</t>
  </si>
  <si>
    <t>V85</t>
  </si>
  <si>
    <t>V86</t>
  </si>
  <si>
    <t>V87</t>
  </si>
  <si>
    <t>V88</t>
  </si>
  <si>
    <t>Itc</t>
  </si>
  <si>
    <t>V89</t>
  </si>
  <si>
    <t>V90</t>
  </si>
  <si>
    <t>V91</t>
  </si>
  <si>
    <t>V92</t>
  </si>
  <si>
    <t>Tf</t>
  </si>
  <si>
    <t>V93</t>
  </si>
  <si>
    <t>V94</t>
  </si>
  <si>
    <t>V95</t>
  </si>
  <si>
    <t>V96</t>
  </si>
  <si>
    <t>V97</t>
  </si>
  <si>
    <t>V98</t>
  </si>
  <si>
    <t>V99</t>
  </si>
  <si>
    <t>V100</t>
  </si>
  <si>
    <t>V101</t>
  </si>
  <si>
    <t>V102</t>
  </si>
  <si>
    <t>V103</t>
  </si>
  <si>
    <t>V104</t>
  </si>
  <si>
    <t>V105</t>
  </si>
  <si>
    <t>V106</t>
  </si>
  <si>
    <t>V107</t>
  </si>
  <si>
    <t>V108</t>
  </si>
  <si>
    <t>Jenne-jeno</t>
  </si>
  <si>
    <t>V109</t>
  </si>
  <si>
    <t>250-350</t>
  </si>
  <si>
    <t>BC-AD</t>
  </si>
  <si>
    <t>V110</t>
  </si>
  <si>
    <t>V111</t>
  </si>
  <si>
    <t>V112</t>
  </si>
  <si>
    <t>V113</t>
  </si>
  <si>
    <t>V114</t>
  </si>
  <si>
    <t>V115</t>
  </si>
  <si>
    <t>V116</t>
  </si>
  <si>
    <t>V117</t>
  </si>
  <si>
    <t>V118</t>
  </si>
  <si>
    <t>V119</t>
  </si>
  <si>
    <t>V120</t>
  </si>
  <si>
    <t>V121</t>
  </si>
  <si>
    <t>350-850</t>
  </si>
  <si>
    <t>V122</t>
  </si>
  <si>
    <t>V123</t>
  </si>
  <si>
    <t>V124</t>
  </si>
  <si>
    <t>V125</t>
  </si>
  <si>
    <t>V126</t>
  </si>
  <si>
    <t>V127</t>
  </si>
  <si>
    <t>V128</t>
  </si>
  <si>
    <t>V129</t>
  </si>
  <si>
    <t>V130</t>
  </si>
  <si>
    <t>V131</t>
  </si>
  <si>
    <t>V132</t>
  </si>
  <si>
    <t>V133</t>
  </si>
  <si>
    <t>V134</t>
  </si>
  <si>
    <t>V135</t>
  </si>
  <si>
    <t>V136</t>
  </si>
  <si>
    <t>V137</t>
  </si>
  <si>
    <t>V138</t>
  </si>
  <si>
    <t>V139</t>
  </si>
  <si>
    <t>850-1400</t>
  </si>
  <si>
    <t>V140</t>
  </si>
  <si>
    <t>V141</t>
  </si>
  <si>
    <t>V142</t>
  </si>
  <si>
    <t>V143</t>
  </si>
  <si>
    <t>V144</t>
  </si>
  <si>
    <t>Th</t>
  </si>
  <si>
    <t>V145</t>
  </si>
  <si>
    <t>V146</t>
  </si>
  <si>
    <t>V147</t>
  </si>
  <si>
    <t>V148</t>
  </si>
  <si>
    <t>V149</t>
  </si>
  <si>
    <t>V150</t>
  </si>
  <si>
    <t>V151</t>
  </si>
  <si>
    <t>Ith</t>
  </si>
  <si>
    <t>V152</t>
  </si>
  <si>
    <t>Bl</t>
  </si>
  <si>
    <t>V153</t>
  </si>
  <si>
    <t>V154</t>
  </si>
  <si>
    <t>V155</t>
  </si>
  <si>
    <t>V156</t>
  </si>
  <si>
    <t>V157</t>
  </si>
  <si>
    <t>V158</t>
  </si>
  <si>
    <t>V159</t>
  </si>
  <si>
    <t>V160</t>
  </si>
  <si>
    <t>Esg</t>
  </si>
  <si>
    <t>V161</t>
  </si>
  <si>
    <t>V162</t>
  </si>
  <si>
    <t>V163</t>
  </si>
  <si>
    <t>V164</t>
  </si>
  <si>
    <t>V165</t>
  </si>
  <si>
    <t>V166</t>
  </si>
  <si>
    <t>V167</t>
  </si>
  <si>
    <t>B</t>
  </si>
  <si>
    <t>V168</t>
  </si>
  <si>
    <t>V169</t>
  </si>
  <si>
    <t>V170</t>
  </si>
  <si>
    <t>V171</t>
  </si>
  <si>
    <t>V172</t>
  </si>
  <si>
    <t>V173</t>
  </si>
  <si>
    <t>V174</t>
  </si>
  <si>
    <t>V175</t>
  </si>
  <si>
    <t>V176</t>
  </si>
  <si>
    <t>KNTII</t>
  </si>
  <si>
    <t>V177</t>
  </si>
  <si>
    <t>300-440</t>
  </si>
  <si>
    <t>V178</t>
  </si>
  <si>
    <t>Sp</t>
  </si>
  <si>
    <t>V179</t>
  </si>
  <si>
    <t>Sb</t>
  </si>
  <si>
    <t>V180</t>
  </si>
  <si>
    <t>V181</t>
  </si>
  <si>
    <t>V182</t>
  </si>
  <si>
    <t>V183</t>
  </si>
  <si>
    <t>V184</t>
  </si>
  <si>
    <t>V185</t>
  </si>
  <si>
    <t>V186</t>
  </si>
  <si>
    <t>V187</t>
  </si>
  <si>
    <t>V188</t>
  </si>
  <si>
    <t>V189</t>
  </si>
  <si>
    <t>440-640</t>
  </si>
  <si>
    <t>V190</t>
  </si>
  <si>
    <t>540-605</t>
  </si>
  <si>
    <t>V191</t>
  </si>
  <si>
    <t>V192</t>
  </si>
  <si>
    <t>V193</t>
  </si>
  <si>
    <t>605-680</t>
  </si>
  <si>
    <t>V194</t>
  </si>
  <si>
    <t>V195</t>
  </si>
  <si>
    <t>V196</t>
  </si>
  <si>
    <t>V197</t>
  </si>
  <si>
    <t>V198</t>
  </si>
  <si>
    <t>V199</t>
  </si>
  <si>
    <t>V200</t>
  </si>
  <si>
    <t>V201</t>
  </si>
  <si>
    <t>V202</t>
  </si>
  <si>
    <t>V203</t>
  </si>
  <si>
    <t>Otf</t>
  </si>
  <si>
    <t>V204</t>
  </si>
  <si>
    <t>V205</t>
  </si>
  <si>
    <t>440-605</t>
  </si>
  <si>
    <t>Ep</t>
  </si>
  <si>
    <t>V206</t>
  </si>
  <si>
    <t>V207</t>
  </si>
  <si>
    <t>V208</t>
  </si>
  <si>
    <t>Ef</t>
  </si>
  <si>
    <t>V209</t>
  </si>
  <si>
    <t>V210</t>
  </si>
  <si>
    <t>V211</t>
  </si>
  <si>
    <t>V212</t>
  </si>
  <si>
    <t>V213</t>
  </si>
  <si>
    <t>V214</t>
  </si>
  <si>
    <t>V215</t>
  </si>
  <si>
    <t>V216</t>
  </si>
  <si>
    <t>V217</t>
  </si>
  <si>
    <t>V218</t>
  </si>
  <si>
    <t>V219</t>
  </si>
  <si>
    <t>V220</t>
  </si>
  <si>
    <t>390-540</t>
  </si>
  <si>
    <t>V221</t>
  </si>
  <si>
    <t>V222</t>
  </si>
  <si>
    <t>Bpe</t>
  </si>
  <si>
    <t>V223</t>
  </si>
  <si>
    <t>Kobadi</t>
  </si>
  <si>
    <t>V224</t>
  </si>
  <si>
    <t>1700-1400</t>
  </si>
  <si>
    <t>V225</t>
  </si>
  <si>
    <t>V226</t>
  </si>
  <si>
    <t>V227</t>
  </si>
  <si>
    <t>V228</t>
  </si>
  <si>
    <t>V229</t>
  </si>
  <si>
    <t>V230</t>
  </si>
  <si>
    <t>V231</t>
  </si>
  <si>
    <t>V232</t>
  </si>
  <si>
    <t>V233</t>
  </si>
  <si>
    <t>V234</t>
  </si>
  <si>
    <t>V235</t>
  </si>
  <si>
    <t>V236</t>
  </si>
  <si>
    <t>V237</t>
  </si>
  <si>
    <t>V238</t>
  </si>
  <si>
    <t>V239</t>
  </si>
  <si>
    <t>V240</t>
  </si>
  <si>
    <t>V241</t>
  </si>
  <si>
    <t>V242</t>
  </si>
  <si>
    <t>V243</t>
  </si>
  <si>
    <t>V244</t>
  </si>
  <si>
    <t>V245</t>
  </si>
  <si>
    <t>V246</t>
  </si>
  <si>
    <t>V247</t>
  </si>
  <si>
    <t>V248</t>
  </si>
  <si>
    <t>V249</t>
  </si>
  <si>
    <t>V250</t>
  </si>
  <si>
    <t>V251</t>
  </si>
  <si>
    <t>V252</t>
  </si>
  <si>
    <t>V253</t>
  </si>
  <si>
    <t>V254</t>
  </si>
  <si>
    <t>V255</t>
  </si>
  <si>
    <t>V256</t>
  </si>
  <si>
    <t>V257</t>
  </si>
  <si>
    <t>V258</t>
  </si>
  <si>
    <t>V259</t>
  </si>
  <si>
    <t>V260</t>
  </si>
  <si>
    <t>V261</t>
  </si>
  <si>
    <t>V262</t>
  </si>
  <si>
    <t>V263</t>
  </si>
  <si>
    <t>V264</t>
  </si>
  <si>
    <t>V265</t>
  </si>
  <si>
    <t>V266</t>
  </si>
  <si>
    <t>V267</t>
  </si>
  <si>
    <t>V268</t>
  </si>
  <si>
    <t>V269</t>
  </si>
  <si>
    <t>V270</t>
  </si>
  <si>
    <t>V271</t>
  </si>
  <si>
    <t>V272</t>
  </si>
  <si>
    <t>V273</t>
  </si>
  <si>
    <t>V274</t>
  </si>
  <si>
    <t>V275</t>
  </si>
  <si>
    <t>V276</t>
  </si>
  <si>
    <t>V277</t>
  </si>
  <si>
    <t>V278</t>
  </si>
  <si>
    <t>V279</t>
  </si>
  <si>
    <t>V280</t>
  </si>
  <si>
    <t>V281</t>
  </si>
  <si>
    <t>V282</t>
  </si>
  <si>
    <t>V283</t>
  </si>
  <si>
    <t>V284</t>
  </si>
  <si>
    <t>V285</t>
  </si>
  <si>
    <t>V286</t>
  </si>
  <si>
    <t>V287</t>
  </si>
  <si>
    <t>V288</t>
  </si>
  <si>
    <t>V289</t>
  </si>
  <si>
    <t>V290</t>
  </si>
  <si>
    <t>V291</t>
  </si>
  <si>
    <t>V292</t>
  </si>
  <si>
    <t>V293</t>
  </si>
  <si>
    <t>V294</t>
  </si>
  <si>
    <t>V295</t>
  </si>
  <si>
    <t>V296</t>
  </si>
  <si>
    <t>V297</t>
  </si>
  <si>
    <t>V298</t>
  </si>
  <si>
    <t>V299</t>
  </si>
  <si>
    <t>V300</t>
  </si>
  <si>
    <t>V301</t>
  </si>
  <si>
    <t>V302</t>
  </si>
  <si>
    <t>V303</t>
  </si>
  <si>
    <t>V304</t>
  </si>
  <si>
    <t>V305</t>
  </si>
  <si>
    <t>Korounkorokale</t>
  </si>
  <si>
    <t>V306</t>
  </si>
  <si>
    <t>4230-3820</t>
  </si>
  <si>
    <t>V307</t>
  </si>
  <si>
    <t>V308</t>
  </si>
  <si>
    <t>890-1160</t>
  </si>
  <si>
    <t>V309</t>
  </si>
  <si>
    <t>Koumbi Saleh</t>
  </si>
  <si>
    <t>V310</t>
  </si>
  <si>
    <t>850-1300</t>
  </si>
  <si>
    <t>V311</t>
  </si>
  <si>
    <t>V312</t>
  </si>
  <si>
    <t>1000-1300</t>
  </si>
  <si>
    <t>V313</t>
  </si>
  <si>
    <t>V314</t>
  </si>
  <si>
    <t>V315</t>
  </si>
  <si>
    <t>850-1050</t>
  </si>
  <si>
    <t>V316</t>
  </si>
  <si>
    <t>V317</t>
  </si>
  <si>
    <t>V318</t>
  </si>
  <si>
    <t>V319</t>
  </si>
  <si>
    <t>V320</t>
  </si>
  <si>
    <t>V321</t>
  </si>
  <si>
    <t>V322</t>
  </si>
  <si>
    <t>1050-1300</t>
  </si>
  <si>
    <t>V323</t>
  </si>
  <si>
    <t>V324</t>
  </si>
  <si>
    <t>V325</t>
  </si>
  <si>
    <t>V326</t>
  </si>
  <si>
    <t>1000</t>
  </si>
  <si>
    <t>V327</t>
  </si>
  <si>
    <t>V328</t>
  </si>
  <si>
    <t>V329</t>
  </si>
  <si>
    <t>V330</t>
  </si>
  <si>
    <t>V331</t>
  </si>
  <si>
    <t>V332</t>
  </si>
  <si>
    <t>Bf</t>
  </si>
  <si>
    <t>H</t>
  </si>
  <si>
    <t>V333</t>
  </si>
  <si>
    <t>Sadia</t>
  </si>
  <si>
    <t>V336</t>
  </si>
  <si>
    <t>1000-1200</t>
  </si>
  <si>
    <t>V337</t>
  </si>
  <si>
    <t>V338</t>
  </si>
  <si>
    <t>V339</t>
  </si>
  <si>
    <t>V340</t>
  </si>
  <si>
    <t>V341</t>
  </si>
  <si>
    <t>V342</t>
  </si>
  <si>
    <t>1010-1270</t>
  </si>
  <si>
    <t>V343</t>
  </si>
  <si>
    <t>V344</t>
  </si>
  <si>
    <t>K</t>
  </si>
  <si>
    <t>V345</t>
  </si>
  <si>
    <t>V346</t>
  </si>
  <si>
    <t>V347</t>
  </si>
  <si>
    <t>V348</t>
  </si>
  <si>
    <t>V349</t>
  </si>
  <si>
    <t>Timbuktu</t>
  </si>
  <si>
    <t>V350</t>
  </si>
  <si>
    <t>V351</t>
  </si>
  <si>
    <t>V352</t>
  </si>
  <si>
    <t>650-1000</t>
  </si>
  <si>
    <t>V353</t>
  </si>
  <si>
    <t>V354</t>
  </si>
  <si>
    <t>V355</t>
  </si>
  <si>
    <t>V356</t>
  </si>
  <si>
    <t>V357</t>
  </si>
  <si>
    <t>Ecc</t>
  </si>
  <si>
    <t>V358</t>
  </si>
  <si>
    <t>V359</t>
  </si>
  <si>
    <t>V360</t>
  </si>
  <si>
    <t>V361</t>
  </si>
  <si>
    <t>V362</t>
  </si>
  <si>
    <t>V363</t>
  </si>
  <si>
    <t>V364</t>
  </si>
  <si>
    <t>V365</t>
  </si>
  <si>
    <t>V366</t>
  </si>
  <si>
    <t>V367</t>
  </si>
  <si>
    <t>V368</t>
  </si>
  <si>
    <t>V369</t>
  </si>
  <si>
    <t>V370</t>
  </si>
  <si>
    <t>V371</t>
  </si>
  <si>
    <t>V372</t>
  </si>
  <si>
    <t>V373</t>
  </si>
  <si>
    <t>V374</t>
  </si>
  <si>
    <t>V375</t>
  </si>
  <si>
    <t>V376</t>
  </si>
  <si>
    <t>V377</t>
  </si>
  <si>
    <t>V378</t>
  </si>
  <si>
    <t>Toubel</t>
  </si>
  <si>
    <t>V379</t>
  </si>
  <si>
    <t>340-1295</t>
  </si>
  <si>
    <t>V380</t>
  </si>
  <si>
    <t>V381</t>
  </si>
  <si>
    <t>V382</t>
  </si>
  <si>
    <t>V383</t>
  </si>
  <si>
    <t>V384</t>
  </si>
  <si>
    <t>V385</t>
  </si>
  <si>
    <t>V386</t>
  </si>
  <si>
    <t>V387</t>
  </si>
  <si>
    <t>V388</t>
  </si>
  <si>
    <t>V389</t>
  </si>
  <si>
    <t>V390</t>
  </si>
  <si>
    <t>V391</t>
  </si>
  <si>
    <t>Winde Koroji</t>
  </si>
  <si>
    <t>V392</t>
  </si>
  <si>
    <t>2100-1900</t>
  </si>
  <si>
    <t>V393</t>
  </si>
  <si>
    <t>V394</t>
  </si>
  <si>
    <t>V395</t>
  </si>
  <si>
    <t>V396</t>
  </si>
  <si>
    <t>V397</t>
  </si>
  <si>
    <t>V398</t>
  </si>
  <si>
    <t>1600-1100</t>
  </si>
  <si>
    <t>V399</t>
  </si>
  <si>
    <t>V400</t>
  </si>
  <si>
    <t>V401</t>
  </si>
  <si>
    <t>V402</t>
  </si>
  <si>
    <t>V403</t>
  </si>
  <si>
    <t>900-550</t>
  </si>
  <si>
    <t>V404</t>
  </si>
  <si>
    <t>V405</t>
  </si>
  <si>
    <t>V406</t>
  </si>
  <si>
    <t>V407</t>
  </si>
  <si>
    <t>V408</t>
  </si>
  <si>
    <t>Dangandouloun</t>
  </si>
  <si>
    <t>V409</t>
  </si>
  <si>
    <t>600-1100</t>
  </si>
  <si>
    <t>V410</t>
  </si>
  <si>
    <t>V411</t>
  </si>
  <si>
    <t>V412</t>
  </si>
  <si>
    <t>V413</t>
  </si>
  <si>
    <t>V414</t>
  </si>
  <si>
    <t>V415</t>
  </si>
  <si>
    <t>V416</t>
  </si>
  <si>
    <t>V417</t>
  </si>
  <si>
    <t>V418</t>
  </si>
  <si>
    <t>V419</t>
  </si>
  <si>
    <t>V420</t>
  </si>
  <si>
    <t>V421</t>
  </si>
  <si>
    <t>V422</t>
  </si>
  <si>
    <t>V423</t>
  </si>
  <si>
    <t>V424</t>
  </si>
  <si>
    <t>V425</t>
  </si>
  <si>
    <t>V426</t>
  </si>
  <si>
    <t>V427</t>
  </si>
  <si>
    <t>V428</t>
  </si>
  <si>
    <t>V429</t>
  </si>
  <si>
    <t>V430</t>
  </si>
  <si>
    <t>V431</t>
  </si>
  <si>
    <t>V432</t>
  </si>
  <si>
    <t>V433</t>
  </si>
  <si>
    <t>V434</t>
  </si>
  <si>
    <t>V435</t>
  </si>
  <si>
    <t>V436</t>
  </si>
  <si>
    <t>V437</t>
  </si>
  <si>
    <t>V438</t>
  </si>
  <si>
    <t>V439</t>
  </si>
  <si>
    <t>V440</t>
  </si>
  <si>
    <t>V441</t>
  </si>
  <si>
    <t>Bt</t>
  </si>
  <si>
    <t>V442</t>
  </si>
  <si>
    <t>V443</t>
  </si>
  <si>
    <t>V444</t>
  </si>
  <si>
    <t>V445</t>
  </si>
  <si>
    <t>V446</t>
  </si>
  <si>
    <t>V447</t>
  </si>
  <si>
    <t>V448</t>
  </si>
  <si>
    <t>V449</t>
  </si>
  <si>
    <t>V450</t>
  </si>
  <si>
    <t>V451</t>
  </si>
  <si>
    <t>V452</t>
  </si>
  <si>
    <t>V453</t>
  </si>
  <si>
    <t>V454</t>
  </si>
  <si>
    <t>V455</t>
  </si>
  <si>
    <t>V456</t>
  </si>
  <si>
    <t>V457</t>
  </si>
  <si>
    <t>V458</t>
  </si>
  <si>
    <t>V459</t>
  </si>
  <si>
    <t>V460</t>
  </si>
  <si>
    <t>V461</t>
  </si>
  <si>
    <t>V462</t>
  </si>
  <si>
    <t>V463</t>
  </si>
  <si>
    <t>V464</t>
  </si>
  <si>
    <t>V465</t>
  </si>
  <si>
    <t>V466</t>
  </si>
  <si>
    <t>V467</t>
  </si>
  <si>
    <t>V468</t>
  </si>
  <si>
    <t>V469</t>
  </si>
  <si>
    <t>V470</t>
  </si>
  <si>
    <t>V471</t>
  </si>
  <si>
    <t>Dourou-boro</t>
  </si>
  <si>
    <t>V472</t>
  </si>
  <si>
    <t>600-800</t>
  </si>
  <si>
    <t>V473</t>
  </si>
  <si>
    <t>V474</t>
  </si>
  <si>
    <t>V475</t>
  </si>
  <si>
    <t>V476</t>
  </si>
  <si>
    <t>V477</t>
  </si>
  <si>
    <t>V478</t>
  </si>
  <si>
    <t>V479</t>
  </si>
  <si>
    <t>V480</t>
  </si>
  <si>
    <t>V481</t>
  </si>
  <si>
    <t>V482</t>
  </si>
  <si>
    <t>V483</t>
  </si>
  <si>
    <t>Pegue A</t>
  </si>
  <si>
    <t>V484</t>
  </si>
  <si>
    <t>400-300</t>
  </si>
  <si>
    <t>V485</t>
  </si>
  <si>
    <t>V486</t>
  </si>
  <si>
    <t>V487</t>
  </si>
  <si>
    <t>1000-1100</t>
  </si>
  <si>
    <t>V488</t>
  </si>
  <si>
    <t>V489</t>
  </si>
  <si>
    <t>V490</t>
  </si>
  <si>
    <t>V491</t>
  </si>
  <si>
    <t>V492</t>
  </si>
  <si>
    <t>V493</t>
  </si>
  <si>
    <t>V494</t>
  </si>
  <si>
    <t>V495</t>
  </si>
  <si>
    <t>V496</t>
  </si>
  <si>
    <t>V497</t>
  </si>
  <si>
    <t>V498</t>
  </si>
  <si>
    <t>V499</t>
  </si>
  <si>
    <t>V500</t>
  </si>
  <si>
    <t>V501</t>
  </si>
  <si>
    <t>V502</t>
  </si>
  <si>
    <t>V503</t>
  </si>
  <si>
    <t>V504</t>
  </si>
  <si>
    <t>V505</t>
  </si>
  <si>
    <t>V506</t>
  </si>
  <si>
    <t>V507</t>
  </si>
  <si>
    <t>V508</t>
  </si>
  <si>
    <t>V509</t>
  </si>
  <si>
    <t>V510</t>
  </si>
  <si>
    <t>V511</t>
  </si>
  <si>
    <t>V512</t>
  </si>
  <si>
    <t>V513</t>
  </si>
  <si>
    <t>V514</t>
  </si>
  <si>
    <t>V515</t>
  </si>
  <si>
    <t>1000-1500</t>
  </si>
  <si>
    <t>V516</t>
  </si>
  <si>
    <t>V517</t>
  </si>
  <si>
    <t>V518</t>
  </si>
  <si>
    <t>V519</t>
  </si>
  <si>
    <t>V520</t>
  </si>
  <si>
    <t>V521</t>
  </si>
  <si>
    <t>V522</t>
  </si>
  <si>
    <t>V523</t>
  </si>
  <si>
    <t>V524</t>
  </si>
  <si>
    <t>V525</t>
  </si>
  <si>
    <t>V526</t>
  </si>
  <si>
    <t>V527</t>
  </si>
  <si>
    <t>V528</t>
  </si>
  <si>
    <t>Special</t>
  </si>
  <si>
    <t>V529</t>
  </si>
  <si>
    <t>V530</t>
  </si>
  <si>
    <t>V531</t>
  </si>
  <si>
    <t>V532</t>
  </si>
  <si>
    <t>V533</t>
  </si>
  <si>
    <t>V534</t>
  </si>
  <si>
    <t>V535</t>
  </si>
  <si>
    <t>V536</t>
  </si>
  <si>
    <t>V537</t>
  </si>
  <si>
    <t>V538</t>
  </si>
  <si>
    <t>V539</t>
  </si>
  <si>
    <t>1200-1500</t>
  </si>
  <si>
    <t>V540</t>
  </si>
  <si>
    <t>V541</t>
  </si>
  <si>
    <t>V542</t>
  </si>
  <si>
    <t>V543</t>
  </si>
  <si>
    <t>V544</t>
  </si>
  <si>
    <t>V545</t>
  </si>
  <si>
    <t>V546</t>
  </si>
  <si>
    <t>V547</t>
  </si>
  <si>
    <t>V548</t>
  </si>
  <si>
    <t>V549</t>
  </si>
  <si>
    <t>V550</t>
  </si>
  <si>
    <t>V551</t>
  </si>
  <si>
    <t>V552</t>
  </si>
  <si>
    <t>V553</t>
  </si>
  <si>
    <t>V554</t>
  </si>
  <si>
    <t>Togue Doupville-Galia</t>
  </si>
  <si>
    <t>V555</t>
  </si>
  <si>
    <t>V556</t>
  </si>
  <si>
    <t>V557</t>
  </si>
  <si>
    <t>V558</t>
  </si>
  <si>
    <t>V560</t>
  </si>
  <si>
    <t>V561</t>
  </si>
  <si>
    <t>V562</t>
  </si>
  <si>
    <t>V563</t>
  </si>
  <si>
    <t>V564</t>
  </si>
  <si>
    <t>V565</t>
  </si>
  <si>
    <t>V566</t>
  </si>
  <si>
    <t>V567</t>
  </si>
  <si>
    <t>V568</t>
  </si>
  <si>
    <t>V569</t>
  </si>
  <si>
    <t>V570</t>
  </si>
  <si>
    <t>Dhar Tichitt</t>
  </si>
  <si>
    <t>V571</t>
  </si>
  <si>
    <t>1800-1000</t>
  </si>
  <si>
    <t>R5</t>
  </si>
  <si>
    <t>V572</t>
  </si>
  <si>
    <t>V573</t>
  </si>
  <si>
    <t>1500-700</t>
  </si>
  <si>
    <t>V574</t>
  </si>
  <si>
    <t>V575</t>
  </si>
  <si>
    <t>1200-700</t>
  </si>
  <si>
    <t>V576</t>
  </si>
  <si>
    <t>V577</t>
  </si>
  <si>
    <t>V578</t>
  </si>
  <si>
    <t>V579</t>
  </si>
  <si>
    <t>V580</t>
  </si>
  <si>
    <t>V581</t>
  </si>
  <si>
    <t>1000-700</t>
  </si>
  <si>
    <t>V582</t>
  </si>
  <si>
    <t>V583</t>
  </si>
  <si>
    <t>900-700</t>
  </si>
  <si>
    <t>V584</t>
  </si>
  <si>
    <t>V585</t>
  </si>
  <si>
    <t>V586</t>
  </si>
  <si>
    <t>700-400</t>
  </si>
  <si>
    <t>V587</t>
  </si>
  <si>
    <t>900-400</t>
  </si>
  <si>
    <t>V588</t>
  </si>
  <si>
    <t>Karkarichinkat</t>
  </si>
  <si>
    <t>V589</t>
  </si>
  <si>
    <t>2010-1360</t>
  </si>
  <si>
    <t>V590</t>
  </si>
  <si>
    <t>V591</t>
  </si>
  <si>
    <t>V592</t>
  </si>
  <si>
    <t>V593</t>
  </si>
  <si>
    <t>V594</t>
  </si>
  <si>
    <t>V595</t>
  </si>
  <si>
    <t>V596</t>
  </si>
  <si>
    <t>V597</t>
  </si>
  <si>
    <t>V598</t>
  </si>
  <si>
    <t>V599</t>
  </si>
  <si>
    <t>V600</t>
  </si>
  <si>
    <t>V601</t>
  </si>
  <si>
    <t>V602</t>
  </si>
  <si>
    <t>V603</t>
  </si>
  <si>
    <t>V604</t>
  </si>
  <si>
    <t>V605</t>
  </si>
  <si>
    <t>Mema</t>
  </si>
  <si>
    <t>V606</t>
  </si>
  <si>
    <t>1440-1160</t>
  </si>
  <si>
    <t>V607</t>
  </si>
  <si>
    <t>V608</t>
  </si>
  <si>
    <t>V609</t>
  </si>
  <si>
    <t>1300-800</t>
  </si>
  <si>
    <t>V610</t>
  </si>
  <si>
    <t>V611</t>
  </si>
  <si>
    <t>V612</t>
  </si>
  <si>
    <t>850-300</t>
  </si>
  <si>
    <t>V613</t>
  </si>
  <si>
    <t>V614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</si>
</sst>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" fontId="1" fillId="0" borderId="0" xfId="0" applyNumberFormat="1" applyFont="1"/>
    <xf numFmtId="49" fontId="1" fillId="0" borderId="0" xfId="0" applyNumberFormat="1" applyFont="1"/>
    <xf numFmtId="1" fontId="1" fillId="0" borderId="0" xfId="0" applyNumberFormat="1" applyFont="1" applyAlignment="1">
      <alignment horizontal="left" vertical="top"/>
    </xf>
    <xf numFmtId="49" fontId="1" fillId="0" borderId="0" xfId="0" applyNumberFormat="1" applyFont="1" applyAlignment="1">
      <alignment horizontal="left" vertical="top"/>
    </xf>
    <xf numFmtId="164" fontId="1" fillId="0" borderId="0" xfId="0" applyNumberFormat="1" applyFont="1"/>
    <xf numFmtId="2" fontId="1" fillId="0" borderId="0" xfId="0" applyNumberFormat="1" applyFont="1"/>
    <xf numFmtId="1" fontId="0" fillId="0" borderId="0" xfId="0" applyNumberFormat="1"/>
    <xf numFmtId="49" fontId="0" fillId="0" borderId="0" xfId="0" applyNumberFormat="1"/>
    <xf numFmtId="1" fontId="0" fillId="0" borderId="0" xfId="0" applyNumberFormat="1" applyAlignment="1">
      <alignment horizontal="left" vertical="top"/>
    </xf>
    <xf numFmtId="49" fontId="0" fillId="0" borderId="0" xfId="0" applyNumberFormat="1" applyAlignment="1">
      <alignment horizontal="left" vertical="top"/>
    </xf>
    <xf numFmtId="16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B3F45-33AE-42EB-92B9-D2A66C05B29A}">
  <dimension ref="A1:W612"/>
  <sheetViews>
    <sheetView tabSelected="1" workbookViewId="0">
      <selection activeCell="V13" sqref="V13"/>
    </sheetView>
  </sheetViews>
  <sheetFormatPr defaultRowHeight="15" x14ac:dyDescent="0.25"/>
  <cols>
    <col min="1" max="1" width="4" bestFit="1" customWidth="1"/>
    <col min="2" max="2" width="20.85546875" bestFit="1" customWidth="1"/>
    <col min="3" max="3" width="14.7109375" bestFit="1" customWidth="1"/>
    <col min="4" max="4" width="9.7109375" bestFit="1" customWidth="1"/>
    <col min="5" max="5" width="6.5703125" bestFit="1" customWidth="1"/>
    <col min="6" max="6" width="10" bestFit="1" customWidth="1"/>
    <col min="7" max="7" width="9.42578125" bestFit="1" customWidth="1"/>
    <col min="9" max="9" width="13.7109375" bestFit="1" customWidth="1"/>
    <col min="10" max="10" width="13.140625" bestFit="1" customWidth="1"/>
    <col min="11" max="11" width="12.5703125" bestFit="1" customWidth="1"/>
    <col min="12" max="12" width="13.5703125" bestFit="1" customWidth="1"/>
    <col min="13" max="13" width="13.85546875" bestFit="1" customWidth="1"/>
    <col min="14" max="14" width="9.7109375" bestFit="1" customWidth="1"/>
    <col min="15" max="15" width="14" bestFit="1" customWidth="1"/>
    <col min="16" max="16" width="16" bestFit="1" customWidth="1"/>
    <col min="17" max="17" width="13.42578125" bestFit="1" customWidth="1"/>
    <col min="18" max="18" width="12.7109375" bestFit="1" customWidth="1"/>
    <col min="19" max="19" width="15.5703125" bestFit="1" customWidth="1"/>
    <col min="20" max="20" width="13.140625" bestFit="1" customWidth="1"/>
    <col min="21" max="21" width="12.42578125" bestFit="1" customWidth="1"/>
    <col min="22" max="22" width="12.28515625" bestFit="1" customWidth="1"/>
    <col min="23" max="23" width="7.5703125" bestFit="1" customWidth="1"/>
  </cols>
  <sheetData>
    <row r="1" spans="1:23" x14ac:dyDescent="0.25">
      <c r="A1" s="1" t="s">
        <v>0</v>
      </c>
      <c r="B1" s="2" t="s">
        <v>1</v>
      </c>
      <c r="C1" s="2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4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6" t="s">
        <v>21</v>
      </c>
      <c r="W1" s="6" t="s">
        <v>22</v>
      </c>
    </row>
    <row r="2" spans="1:23" x14ac:dyDescent="0.25">
      <c r="A2" s="7">
        <v>1</v>
      </c>
      <c r="B2" s="8" t="s">
        <v>23</v>
      </c>
      <c r="C2" s="8" t="s">
        <v>24</v>
      </c>
      <c r="D2" s="7">
        <v>9400</v>
      </c>
      <c r="E2" s="8" t="s">
        <v>25</v>
      </c>
      <c r="F2" s="7">
        <v>-9400</v>
      </c>
      <c r="G2" s="7">
        <v>-9400</v>
      </c>
      <c r="H2" s="7">
        <v>-9400</v>
      </c>
      <c r="I2" s="9">
        <v>4</v>
      </c>
      <c r="J2" s="10" t="s">
        <v>26</v>
      </c>
      <c r="K2" s="8" t="s">
        <v>27</v>
      </c>
      <c r="L2" s="8" t="s">
        <v>28</v>
      </c>
      <c r="M2" s="8"/>
      <c r="N2" s="8"/>
      <c r="O2" s="8" t="s">
        <v>29</v>
      </c>
      <c r="P2" s="11">
        <v>5.4</v>
      </c>
      <c r="Q2" s="11">
        <v>3.2</v>
      </c>
      <c r="R2" s="11">
        <v>5.4</v>
      </c>
      <c r="S2" s="11">
        <f>P2*4</f>
        <v>21.6</v>
      </c>
      <c r="T2" s="11">
        <f>Q2*4</f>
        <v>12.8</v>
      </c>
      <c r="U2" s="11">
        <f>R2*4</f>
        <v>21.6</v>
      </c>
      <c r="V2" s="12">
        <f>(2/3)*3.14*(U2/2)^3</f>
        <v>2636.9971200000005</v>
      </c>
      <c r="W2" s="12">
        <f>V2/1000</f>
        <v>2.6369971200000006</v>
      </c>
    </row>
    <row r="3" spans="1:23" x14ac:dyDescent="0.25">
      <c r="A3" s="7">
        <v>2</v>
      </c>
      <c r="B3" s="8" t="s">
        <v>23</v>
      </c>
      <c r="C3" s="8" t="s">
        <v>30</v>
      </c>
      <c r="D3" s="7" t="s">
        <v>31</v>
      </c>
      <c r="E3" s="8" t="s">
        <v>25</v>
      </c>
      <c r="F3" s="7">
        <v>-2700</v>
      </c>
      <c r="G3" s="7">
        <v>-2020</v>
      </c>
      <c r="H3" s="7">
        <f>(F3+G3)/2</f>
        <v>-2360</v>
      </c>
      <c r="I3" s="9">
        <v>4</v>
      </c>
      <c r="J3" s="10" t="s">
        <v>32</v>
      </c>
      <c r="K3" s="8" t="s">
        <v>27</v>
      </c>
      <c r="L3" s="8" t="s">
        <v>28</v>
      </c>
      <c r="M3" s="8"/>
      <c r="N3" s="8"/>
      <c r="O3" s="8" t="s">
        <v>29</v>
      </c>
      <c r="P3" s="11">
        <v>9</v>
      </c>
      <c r="Q3" s="11">
        <v>6.6</v>
      </c>
      <c r="R3" s="11">
        <v>9</v>
      </c>
      <c r="S3" s="11">
        <f>P3*4</f>
        <v>36</v>
      </c>
      <c r="T3" s="11">
        <f>Q3*4</f>
        <v>26.4</v>
      </c>
      <c r="U3" s="11">
        <f>R3*4</f>
        <v>36</v>
      </c>
      <c r="V3" s="12">
        <f>(2/3)*3.14*(U3/2)^3</f>
        <v>12208.32</v>
      </c>
      <c r="W3" s="12">
        <f>V3/1000</f>
        <v>12.208320000000001</v>
      </c>
    </row>
    <row r="4" spans="1:23" x14ac:dyDescent="0.25">
      <c r="A4" s="7">
        <v>3</v>
      </c>
      <c r="B4" s="8" t="s">
        <v>23</v>
      </c>
      <c r="C4" s="8" t="s">
        <v>33</v>
      </c>
      <c r="D4" s="7" t="s">
        <v>31</v>
      </c>
      <c r="E4" s="8" t="s">
        <v>25</v>
      </c>
      <c r="F4" s="7">
        <v>-2700</v>
      </c>
      <c r="G4" s="7">
        <v>-2020</v>
      </c>
      <c r="H4" s="7">
        <f>(F4+G4)/2</f>
        <v>-2360</v>
      </c>
      <c r="I4" s="9">
        <v>4</v>
      </c>
      <c r="J4" s="10" t="s">
        <v>34</v>
      </c>
      <c r="K4" s="8" t="s">
        <v>27</v>
      </c>
      <c r="L4" s="8" t="s">
        <v>28</v>
      </c>
      <c r="M4" s="8"/>
      <c r="N4" s="8"/>
      <c r="O4" s="8" t="s">
        <v>29</v>
      </c>
      <c r="P4" s="11">
        <v>6.7</v>
      </c>
      <c r="Q4" s="11">
        <v>4.2</v>
      </c>
      <c r="R4" s="11">
        <v>6.7</v>
      </c>
      <c r="S4" s="11">
        <f>P4*4</f>
        <v>26.8</v>
      </c>
      <c r="T4" s="11">
        <f>Q4*4</f>
        <v>16.8</v>
      </c>
      <c r="U4" s="11">
        <f>R4*4</f>
        <v>26.8</v>
      </c>
      <c r="V4" s="12">
        <f>(2/3)*3.14*(U4/2)^3</f>
        <v>5036.7777066666667</v>
      </c>
      <c r="W4" s="12">
        <f>V4/1000</f>
        <v>5.0367777066666664</v>
      </c>
    </row>
    <row r="5" spans="1:23" x14ac:dyDescent="0.25">
      <c r="A5" s="7">
        <v>4</v>
      </c>
      <c r="B5" s="8" t="s">
        <v>23</v>
      </c>
      <c r="C5" s="8" t="s">
        <v>35</v>
      </c>
      <c r="D5" s="7" t="s">
        <v>36</v>
      </c>
      <c r="E5" s="8" t="s">
        <v>25</v>
      </c>
      <c r="F5" s="7">
        <v>-1800</v>
      </c>
      <c r="G5" s="7">
        <v>-800</v>
      </c>
      <c r="H5" s="7">
        <f>(F5+G5)/2</f>
        <v>-1300</v>
      </c>
      <c r="I5" s="9">
        <v>6</v>
      </c>
      <c r="J5" s="10" t="s">
        <v>32</v>
      </c>
      <c r="K5" s="8" t="s">
        <v>37</v>
      </c>
      <c r="L5" s="8" t="s">
        <v>38</v>
      </c>
      <c r="M5" s="8" t="s">
        <v>39</v>
      </c>
      <c r="N5" s="8"/>
      <c r="O5" s="8" t="s">
        <v>40</v>
      </c>
      <c r="P5" s="11">
        <v>2.2999999999999998</v>
      </c>
      <c r="Q5" s="11">
        <v>8.8000000000000007</v>
      </c>
      <c r="R5" s="11">
        <v>9</v>
      </c>
      <c r="S5" s="11">
        <f>P5*4</f>
        <v>9.1999999999999993</v>
      </c>
      <c r="T5" s="11">
        <f>Q5*4</f>
        <v>35.200000000000003</v>
      </c>
      <c r="U5" s="11">
        <f>R5*4</f>
        <v>36</v>
      </c>
      <c r="V5" s="12">
        <f>(4/3)*3.14*(U5/2)^3</f>
        <v>24416.639999999999</v>
      </c>
      <c r="W5" s="12">
        <f>V5/1000</f>
        <v>24.416640000000001</v>
      </c>
    </row>
    <row r="6" spans="1:23" x14ac:dyDescent="0.25">
      <c r="A6" s="7">
        <v>5</v>
      </c>
      <c r="B6" s="8" t="s">
        <v>23</v>
      </c>
      <c r="C6" s="8" t="s">
        <v>41</v>
      </c>
      <c r="D6" s="7" t="s">
        <v>36</v>
      </c>
      <c r="E6" s="8" t="s">
        <v>25</v>
      </c>
      <c r="F6" s="7">
        <v>-1800</v>
      </c>
      <c r="G6" s="7">
        <v>-800</v>
      </c>
      <c r="H6" s="7">
        <f>(F6+G6)/2</f>
        <v>-1300</v>
      </c>
      <c r="I6" s="9">
        <v>11</v>
      </c>
      <c r="J6" s="10" t="s">
        <v>34</v>
      </c>
      <c r="K6" s="8" t="s">
        <v>42</v>
      </c>
      <c r="L6" s="8" t="s">
        <v>43</v>
      </c>
      <c r="M6" s="8"/>
      <c r="N6" s="8"/>
      <c r="O6" s="8" t="s">
        <v>44</v>
      </c>
      <c r="P6" s="11">
        <v>4.5</v>
      </c>
      <c r="Q6" s="11">
        <v>11.8</v>
      </c>
      <c r="R6" s="11">
        <v>8.6999999999999993</v>
      </c>
      <c r="S6" s="11">
        <f>P6*4</f>
        <v>18</v>
      </c>
      <c r="T6" s="11">
        <f>Q6*4</f>
        <v>47.2</v>
      </c>
      <c r="U6" s="11">
        <f>R6*4</f>
        <v>34.799999999999997</v>
      </c>
      <c r="V6" s="12">
        <f>4/3*3.14*U6^2*T6</f>
        <v>239314.42175999997</v>
      </c>
      <c r="W6" s="12">
        <f>V6/1000</f>
        <v>239.31442175999996</v>
      </c>
    </row>
    <row r="7" spans="1:23" x14ac:dyDescent="0.25">
      <c r="A7" s="7">
        <v>6</v>
      </c>
      <c r="B7" s="8" t="s">
        <v>23</v>
      </c>
      <c r="C7" s="8" t="s">
        <v>45</v>
      </c>
      <c r="D7" s="7" t="s">
        <v>36</v>
      </c>
      <c r="E7" s="8" t="s">
        <v>25</v>
      </c>
      <c r="F7" s="7">
        <v>-1800</v>
      </c>
      <c r="G7" s="7">
        <v>-800</v>
      </c>
      <c r="H7" s="7">
        <f>(F7+G7)/2</f>
        <v>-1300</v>
      </c>
      <c r="I7" s="9">
        <v>9</v>
      </c>
      <c r="J7" s="10" t="s">
        <v>26</v>
      </c>
      <c r="K7" s="8" t="s">
        <v>27</v>
      </c>
      <c r="L7" s="8" t="s">
        <v>28</v>
      </c>
      <c r="M7" s="8"/>
      <c r="N7" s="8"/>
      <c r="O7" s="8" t="s">
        <v>44</v>
      </c>
      <c r="P7" s="11">
        <v>5</v>
      </c>
      <c r="Q7" s="11">
        <v>5.6</v>
      </c>
      <c r="R7" s="11">
        <v>5</v>
      </c>
      <c r="S7" s="11">
        <f>P7*4</f>
        <v>20</v>
      </c>
      <c r="T7" s="11">
        <f>Q7*4</f>
        <v>22.4</v>
      </c>
      <c r="U7" s="11">
        <f>R7*4</f>
        <v>20</v>
      </c>
      <c r="V7" s="12">
        <f>4/3*3.14*U7^2*T7</f>
        <v>37512.533333333326</v>
      </c>
      <c r="W7" s="12">
        <f>V7/1000</f>
        <v>37.512533333333323</v>
      </c>
    </row>
    <row r="8" spans="1:23" x14ac:dyDescent="0.25">
      <c r="A8" s="7">
        <v>7</v>
      </c>
      <c r="B8" s="8" t="s">
        <v>23</v>
      </c>
      <c r="C8" s="8" t="s">
        <v>46</v>
      </c>
      <c r="D8" s="7" t="s">
        <v>36</v>
      </c>
      <c r="E8" s="8" t="s">
        <v>25</v>
      </c>
      <c r="F8" s="7">
        <v>-1800</v>
      </c>
      <c r="G8" s="7">
        <v>-800</v>
      </c>
      <c r="H8" s="7">
        <f>(F8+G8)/2</f>
        <v>-1300</v>
      </c>
      <c r="I8" s="9">
        <v>11</v>
      </c>
      <c r="J8" s="10" t="s">
        <v>34</v>
      </c>
      <c r="K8" s="8" t="s">
        <v>42</v>
      </c>
      <c r="L8" s="8" t="s">
        <v>43</v>
      </c>
      <c r="M8" s="8"/>
      <c r="N8" s="8"/>
      <c r="O8" s="8" t="s">
        <v>44</v>
      </c>
      <c r="P8" s="11">
        <v>3.4</v>
      </c>
      <c r="Q8" s="11">
        <v>10.5</v>
      </c>
      <c r="R8" s="11">
        <v>6.8</v>
      </c>
      <c r="S8" s="11">
        <f>P8*4</f>
        <v>13.6</v>
      </c>
      <c r="T8" s="11">
        <f>Q8*4</f>
        <v>42</v>
      </c>
      <c r="U8" s="11">
        <f>R8*4</f>
        <v>27.2</v>
      </c>
      <c r="V8" s="12">
        <f>4/3*3.14*U8^2*T8</f>
        <v>130093.46559999998</v>
      </c>
      <c r="W8" s="12">
        <f>V8/1000</f>
        <v>130.09346559999997</v>
      </c>
    </row>
    <row r="9" spans="1:23" x14ac:dyDescent="0.25">
      <c r="A9" s="7">
        <v>8</v>
      </c>
      <c r="B9" s="8" t="s">
        <v>23</v>
      </c>
      <c r="C9" s="8" t="s">
        <v>47</v>
      </c>
      <c r="D9" s="7" t="s">
        <v>36</v>
      </c>
      <c r="E9" s="8" t="s">
        <v>25</v>
      </c>
      <c r="F9" s="7">
        <v>-1800</v>
      </c>
      <c r="G9" s="7">
        <v>-800</v>
      </c>
      <c r="H9" s="7">
        <f>(F9+G9)/2</f>
        <v>-1300</v>
      </c>
      <c r="I9" s="9">
        <v>10</v>
      </c>
      <c r="J9" s="10" t="s">
        <v>34</v>
      </c>
      <c r="K9" s="8" t="s">
        <v>42</v>
      </c>
      <c r="L9" s="8" t="s">
        <v>43</v>
      </c>
      <c r="M9" s="8"/>
      <c r="N9" s="8"/>
      <c r="O9" s="8" t="s">
        <v>44</v>
      </c>
      <c r="P9" s="11">
        <v>5.7</v>
      </c>
      <c r="Q9" s="11">
        <v>9</v>
      </c>
      <c r="R9" s="11">
        <v>7.8</v>
      </c>
      <c r="S9" s="11">
        <f>P9*4</f>
        <v>22.8</v>
      </c>
      <c r="T9" s="11">
        <f>Q9*4</f>
        <v>36</v>
      </c>
      <c r="U9" s="11">
        <f>R9*4</f>
        <v>31.2</v>
      </c>
      <c r="V9" s="12">
        <f>4/3*3.14*U9^2*T9</f>
        <v>146716.8768</v>
      </c>
      <c r="W9" s="12">
        <f>V9/1000</f>
        <v>146.71687679999999</v>
      </c>
    </row>
    <row r="10" spans="1:23" x14ac:dyDescent="0.25">
      <c r="A10" s="7">
        <v>9</v>
      </c>
      <c r="B10" s="8" t="s">
        <v>48</v>
      </c>
      <c r="C10" s="8" t="s">
        <v>49</v>
      </c>
      <c r="D10" s="7" t="s">
        <v>50</v>
      </c>
      <c r="E10" s="8" t="s">
        <v>51</v>
      </c>
      <c r="F10" s="7">
        <v>500</v>
      </c>
      <c r="G10" s="7">
        <v>600</v>
      </c>
      <c r="H10" s="7">
        <f>(F10+G10)/2</f>
        <v>550</v>
      </c>
      <c r="I10" s="9">
        <v>7</v>
      </c>
      <c r="J10" s="10" t="s">
        <v>26</v>
      </c>
      <c r="K10" s="8" t="s">
        <v>27</v>
      </c>
      <c r="L10" s="8" t="s">
        <v>28</v>
      </c>
      <c r="M10" s="8" t="s">
        <v>39</v>
      </c>
      <c r="N10" s="8"/>
      <c r="O10" s="8" t="s">
        <v>40</v>
      </c>
      <c r="P10" s="11">
        <v>4.4000000000000004</v>
      </c>
      <c r="Q10" s="11">
        <v>1.4</v>
      </c>
      <c r="R10" s="11">
        <v>4.8</v>
      </c>
      <c r="S10" s="11">
        <f>P10*4</f>
        <v>17.600000000000001</v>
      </c>
      <c r="T10" s="11">
        <f>Q10*4</f>
        <v>5.6</v>
      </c>
      <c r="U10" s="11">
        <f>R10*4</f>
        <v>19.2</v>
      </c>
      <c r="V10" s="12">
        <f>4/3*3.14*U10^2*T10</f>
        <v>8642.887679999998</v>
      </c>
      <c r="W10" s="12">
        <f>V10/1000</f>
        <v>8.6428876799999976</v>
      </c>
    </row>
    <row r="11" spans="1:23" x14ac:dyDescent="0.25">
      <c r="A11" s="7">
        <v>10</v>
      </c>
      <c r="B11" s="8" t="s">
        <v>48</v>
      </c>
      <c r="C11" s="8" t="s">
        <v>52</v>
      </c>
      <c r="D11" s="7" t="s">
        <v>50</v>
      </c>
      <c r="E11" s="8" t="s">
        <v>51</v>
      </c>
      <c r="F11" s="7">
        <v>500</v>
      </c>
      <c r="G11" s="7">
        <v>600</v>
      </c>
      <c r="H11" s="7">
        <f>(F11+G11)/2</f>
        <v>550</v>
      </c>
      <c r="I11" s="9">
        <v>8</v>
      </c>
      <c r="J11" s="10" t="s">
        <v>34</v>
      </c>
      <c r="K11" s="8" t="s">
        <v>27</v>
      </c>
      <c r="L11" s="8" t="s">
        <v>28</v>
      </c>
      <c r="M11" s="8" t="s">
        <v>39</v>
      </c>
      <c r="N11" s="8"/>
      <c r="O11" s="8" t="s">
        <v>40</v>
      </c>
      <c r="P11" s="11">
        <v>7</v>
      </c>
      <c r="Q11" s="11">
        <v>3.1</v>
      </c>
      <c r="R11" s="11">
        <v>8</v>
      </c>
      <c r="S11" s="11">
        <f>P11*4</f>
        <v>28</v>
      </c>
      <c r="T11" s="11">
        <f>Q11*4</f>
        <v>12.4</v>
      </c>
      <c r="U11" s="11">
        <f>R11*4</f>
        <v>32</v>
      </c>
      <c r="V11" s="12">
        <f>4/3*3.14*U11^2*T11</f>
        <v>53160.618666666669</v>
      </c>
      <c r="W11" s="12">
        <f>V11/1000</f>
        <v>53.160618666666672</v>
      </c>
    </row>
    <row r="12" spans="1:23" x14ac:dyDescent="0.25">
      <c r="A12" s="7">
        <v>11</v>
      </c>
      <c r="B12" s="8" t="s">
        <v>48</v>
      </c>
      <c r="C12" s="8" t="s">
        <v>53</v>
      </c>
      <c r="D12" s="7" t="s">
        <v>50</v>
      </c>
      <c r="E12" s="8" t="s">
        <v>51</v>
      </c>
      <c r="F12" s="7">
        <v>500</v>
      </c>
      <c r="G12" s="7">
        <v>600</v>
      </c>
      <c r="H12" s="7">
        <f>(F12+G12)/2</f>
        <v>550</v>
      </c>
      <c r="I12" s="9">
        <v>3</v>
      </c>
      <c r="J12" s="10" t="s">
        <v>26</v>
      </c>
      <c r="K12" s="8" t="s">
        <v>27</v>
      </c>
      <c r="L12" s="8" t="s">
        <v>28</v>
      </c>
      <c r="M12" s="8" t="s">
        <v>39</v>
      </c>
      <c r="N12" s="8"/>
      <c r="O12" s="8" t="s">
        <v>40</v>
      </c>
      <c r="P12" s="11">
        <v>5</v>
      </c>
      <c r="Q12" s="11">
        <v>1.9</v>
      </c>
      <c r="R12" s="11">
        <v>5.2</v>
      </c>
      <c r="S12" s="11">
        <f>P12*4</f>
        <v>20</v>
      </c>
      <c r="T12" s="11">
        <f>Q12*4</f>
        <v>7.6</v>
      </c>
      <c r="U12" s="11">
        <f>R12*4</f>
        <v>20.8</v>
      </c>
      <c r="V12" s="12">
        <f>4/3*3.14*U12^2*T12</f>
        <v>13766.027946666667</v>
      </c>
      <c r="W12" s="12">
        <f>V12/1000</f>
        <v>13.766027946666666</v>
      </c>
    </row>
    <row r="13" spans="1:23" x14ac:dyDescent="0.25">
      <c r="A13" s="7">
        <v>12</v>
      </c>
      <c r="B13" s="8" t="s">
        <v>48</v>
      </c>
      <c r="C13" s="8" t="s">
        <v>54</v>
      </c>
      <c r="D13" s="7" t="s">
        <v>50</v>
      </c>
      <c r="E13" s="8" t="s">
        <v>51</v>
      </c>
      <c r="F13" s="7">
        <v>500</v>
      </c>
      <c r="G13" s="7">
        <v>600</v>
      </c>
      <c r="H13" s="7">
        <f>(F13+G13)/2</f>
        <v>550</v>
      </c>
      <c r="I13" s="9">
        <v>5</v>
      </c>
      <c r="J13" s="10" t="s">
        <v>32</v>
      </c>
      <c r="K13" s="8" t="s">
        <v>27</v>
      </c>
      <c r="L13" s="8" t="s">
        <v>28</v>
      </c>
      <c r="M13" s="8"/>
      <c r="N13" s="8"/>
      <c r="O13" s="8" t="s">
        <v>29</v>
      </c>
      <c r="P13" s="11">
        <v>7.7</v>
      </c>
      <c r="Q13" s="11">
        <v>7.5</v>
      </c>
      <c r="R13" s="11">
        <v>9.1</v>
      </c>
      <c r="S13" s="11">
        <f>P13*4</f>
        <v>30.8</v>
      </c>
      <c r="T13" s="11">
        <f>Q13*4</f>
        <v>30</v>
      </c>
      <c r="U13" s="11">
        <f>R13*4</f>
        <v>36.4</v>
      </c>
      <c r="V13" s="12">
        <f>(4/3)*3.14*(U13/2)^3</f>
        <v>25239.604693333331</v>
      </c>
      <c r="W13" s="12">
        <f>V13/1000</f>
        <v>25.23960469333333</v>
      </c>
    </row>
    <row r="14" spans="1:23" x14ac:dyDescent="0.25">
      <c r="A14" s="7">
        <v>13</v>
      </c>
      <c r="B14" s="8" t="s">
        <v>48</v>
      </c>
      <c r="C14" s="8" t="s">
        <v>55</v>
      </c>
      <c r="D14" s="7" t="s">
        <v>50</v>
      </c>
      <c r="E14" s="8" t="s">
        <v>51</v>
      </c>
      <c r="F14" s="7">
        <v>500</v>
      </c>
      <c r="G14" s="7">
        <v>600</v>
      </c>
      <c r="H14" s="7">
        <f>(F14+G14)/2</f>
        <v>550</v>
      </c>
      <c r="I14" s="9">
        <v>4</v>
      </c>
      <c r="J14" s="10" t="s">
        <v>26</v>
      </c>
      <c r="K14" s="8" t="s">
        <v>56</v>
      </c>
      <c r="L14" s="8" t="s">
        <v>43</v>
      </c>
      <c r="M14" s="8" t="s">
        <v>39</v>
      </c>
      <c r="N14" s="8"/>
      <c r="O14" s="8" t="s">
        <v>40</v>
      </c>
      <c r="P14" s="11">
        <v>6.7</v>
      </c>
      <c r="Q14" s="11">
        <v>4</v>
      </c>
      <c r="R14" s="11">
        <v>5.3</v>
      </c>
      <c r="S14" s="11">
        <f>P14*4</f>
        <v>26.8</v>
      </c>
      <c r="T14" s="11">
        <f>Q14*4</f>
        <v>16</v>
      </c>
      <c r="U14" s="11">
        <f>R14*4</f>
        <v>21.2</v>
      </c>
      <c r="V14" s="12">
        <f>(2/3)*3.14*(U14/2)^3</f>
        <v>2493.1934933333328</v>
      </c>
      <c r="W14" s="12">
        <f>V14/1000</f>
        <v>2.4931934933333326</v>
      </c>
    </row>
    <row r="15" spans="1:23" x14ac:dyDescent="0.25">
      <c r="A15" s="7">
        <v>14</v>
      </c>
      <c r="B15" s="8" t="s">
        <v>48</v>
      </c>
      <c r="C15" s="8" t="s">
        <v>57</v>
      </c>
      <c r="D15" s="7" t="s">
        <v>50</v>
      </c>
      <c r="E15" s="8" t="s">
        <v>51</v>
      </c>
      <c r="F15" s="7">
        <v>500</v>
      </c>
      <c r="G15" s="7">
        <v>600</v>
      </c>
      <c r="H15" s="7">
        <f>(F15+G15)/2</f>
        <v>550</v>
      </c>
      <c r="I15" s="9">
        <v>4</v>
      </c>
      <c r="J15" s="10" t="s">
        <v>32</v>
      </c>
      <c r="K15" s="8" t="s">
        <v>42</v>
      </c>
      <c r="L15" s="8" t="s">
        <v>43</v>
      </c>
      <c r="M15" s="8" t="s">
        <v>39</v>
      </c>
      <c r="N15" s="8"/>
      <c r="O15" s="8" t="s">
        <v>40</v>
      </c>
      <c r="P15" s="11">
        <v>9.9</v>
      </c>
      <c r="Q15" s="11">
        <v>8.4</v>
      </c>
      <c r="R15" s="11">
        <v>10.199999999999999</v>
      </c>
      <c r="S15" s="11">
        <f>P15*4</f>
        <v>39.6</v>
      </c>
      <c r="T15" s="11">
        <f>Q15*4</f>
        <v>33.6</v>
      </c>
      <c r="U15" s="11">
        <f>R15*4</f>
        <v>40.799999999999997</v>
      </c>
      <c r="V15" s="12">
        <f>(2/3)*3.14*(U15/2)^3</f>
        <v>17771.696639999998</v>
      </c>
      <c r="W15" s="12">
        <f>V15/1000</f>
        <v>17.771696639999998</v>
      </c>
    </row>
    <row r="16" spans="1:23" x14ac:dyDescent="0.25">
      <c r="A16" s="7">
        <v>15</v>
      </c>
      <c r="B16" s="8" t="s">
        <v>48</v>
      </c>
      <c r="C16" s="8" t="s">
        <v>58</v>
      </c>
      <c r="D16" s="7" t="s">
        <v>50</v>
      </c>
      <c r="E16" s="8" t="s">
        <v>51</v>
      </c>
      <c r="F16" s="7">
        <v>500</v>
      </c>
      <c r="G16" s="7">
        <v>600</v>
      </c>
      <c r="H16" s="7">
        <f>(F16+G16)/2</f>
        <v>550</v>
      </c>
      <c r="I16" s="9">
        <v>5</v>
      </c>
      <c r="J16" s="10" t="s">
        <v>32</v>
      </c>
      <c r="K16" s="8" t="s">
        <v>59</v>
      </c>
      <c r="L16" s="8" t="s">
        <v>60</v>
      </c>
      <c r="M16" s="8"/>
      <c r="N16" s="8"/>
      <c r="O16" s="8" t="s">
        <v>29</v>
      </c>
      <c r="P16" s="11">
        <v>5.4</v>
      </c>
      <c r="Q16" s="11">
        <v>10.1</v>
      </c>
      <c r="R16" s="11">
        <v>9.6999999999999993</v>
      </c>
      <c r="S16" s="11">
        <f>P16*4</f>
        <v>21.6</v>
      </c>
      <c r="T16" s="11">
        <f>Q16*4</f>
        <v>40.4</v>
      </c>
      <c r="U16" s="11">
        <f>R16*4</f>
        <v>38.799999999999997</v>
      </c>
      <c r="V16" s="12">
        <f>(4/3)*3.14*(U16/2)^3</f>
        <v>30568.461013333326</v>
      </c>
      <c r="W16" s="12">
        <f>V16/1000</f>
        <v>30.568461013333327</v>
      </c>
    </row>
    <row r="17" spans="1:23" x14ac:dyDescent="0.25">
      <c r="A17" s="7">
        <v>16</v>
      </c>
      <c r="B17" s="8" t="s">
        <v>48</v>
      </c>
      <c r="C17" s="8" t="s">
        <v>61</v>
      </c>
      <c r="D17" s="7" t="s">
        <v>62</v>
      </c>
      <c r="E17" s="8" t="s">
        <v>51</v>
      </c>
      <c r="F17" s="7">
        <v>600</v>
      </c>
      <c r="G17" s="7">
        <v>1400</v>
      </c>
      <c r="H17" s="7">
        <f>(F17+G17)/2</f>
        <v>1000</v>
      </c>
      <c r="I17" s="9">
        <v>5</v>
      </c>
      <c r="J17" s="10" t="s">
        <v>26</v>
      </c>
      <c r="K17" s="8" t="s">
        <v>27</v>
      </c>
      <c r="L17" s="8" t="s">
        <v>28</v>
      </c>
      <c r="M17" s="8" t="s">
        <v>39</v>
      </c>
      <c r="N17" s="8"/>
      <c r="O17" s="8" t="s">
        <v>40</v>
      </c>
      <c r="P17" s="11">
        <v>2.1</v>
      </c>
      <c r="Q17" s="11">
        <v>3.2</v>
      </c>
      <c r="R17" s="11">
        <v>3.8</v>
      </c>
      <c r="S17" s="11">
        <f>P17*4</f>
        <v>8.4</v>
      </c>
      <c r="T17" s="11">
        <f>Q17*4</f>
        <v>12.8</v>
      </c>
      <c r="U17" s="11">
        <f>R17*4</f>
        <v>15.2</v>
      </c>
      <c r="V17" s="12">
        <f>(4/3)*3.14*(U17/2)^3</f>
        <v>1837.8461866666664</v>
      </c>
      <c r="W17" s="12">
        <f>V17/1000</f>
        <v>1.8378461866666664</v>
      </c>
    </row>
    <row r="18" spans="1:23" x14ac:dyDescent="0.25">
      <c r="A18" s="7">
        <v>17</v>
      </c>
      <c r="B18" s="8" t="s">
        <v>48</v>
      </c>
      <c r="C18" s="8" t="s">
        <v>63</v>
      </c>
      <c r="D18" s="7" t="s">
        <v>62</v>
      </c>
      <c r="E18" s="8" t="s">
        <v>51</v>
      </c>
      <c r="F18" s="7">
        <v>600</v>
      </c>
      <c r="G18" s="7">
        <v>1400</v>
      </c>
      <c r="H18" s="7">
        <f>(F18+G18)/2</f>
        <v>1000</v>
      </c>
      <c r="I18" s="9">
        <v>5</v>
      </c>
      <c r="J18" s="10" t="s">
        <v>26</v>
      </c>
      <c r="K18" s="8" t="s">
        <v>59</v>
      </c>
      <c r="L18" s="8" t="s">
        <v>60</v>
      </c>
      <c r="M18" s="8" t="s">
        <v>39</v>
      </c>
      <c r="N18" s="8"/>
      <c r="O18" s="8" t="s">
        <v>40</v>
      </c>
      <c r="P18" s="11">
        <v>2.1</v>
      </c>
      <c r="Q18" s="11">
        <v>4</v>
      </c>
      <c r="R18" s="11">
        <v>4.2</v>
      </c>
      <c r="S18" s="11">
        <f>P18*4</f>
        <v>8.4</v>
      </c>
      <c r="T18" s="11">
        <f>Q18*4</f>
        <v>16</v>
      </c>
      <c r="U18" s="11">
        <f>R18*4</f>
        <v>16.8</v>
      </c>
      <c r="V18" s="12">
        <f>(4/3)*3.14*(U18/2)^3</f>
        <v>2481.45408</v>
      </c>
      <c r="W18" s="12">
        <f>V18/1000</f>
        <v>2.4814540799999998</v>
      </c>
    </row>
    <row r="19" spans="1:23" x14ac:dyDescent="0.25">
      <c r="A19" s="7">
        <v>18</v>
      </c>
      <c r="B19" s="8" t="s">
        <v>48</v>
      </c>
      <c r="C19" s="8" t="s">
        <v>64</v>
      </c>
      <c r="D19" s="7" t="s">
        <v>62</v>
      </c>
      <c r="E19" s="8" t="s">
        <v>51</v>
      </c>
      <c r="F19" s="7">
        <v>600</v>
      </c>
      <c r="G19" s="7">
        <v>1400</v>
      </c>
      <c r="H19" s="7">
        <f>(F19+G19)/2</f>
        <v>1000</v>
      </c>
      <c r="I19" s="9">
        <v>5</v>
      </c>
      <c r="J19" s="10" t="s">
        <v>65</v>
      </c>
      <c r="K19" s="8" t="s">
        <v>27</v>
      </c>
      <c r="L19" s="8" t="s">
        <v>28</v>
      </c>
      <c r="M19" s="8" t="s">
        <v>39</v>
      </c>
      <c r="N19" s="8"/>
      <c r="O19" s="8" t="s">
        <v>40</v>
      </c>
      <c r="P19" s="11">
        <v>2</v>
      </c>
      <c r="Q19" s="11">
        <v>2.5</v>
      </c>
      <c r="R19" s="11">
        <v>3.2</v>
      </c>
      <c r="S19" s="11">
        <f>P19*4</f>
        <v>8</v>
      </c>
      <c r="T19" s="11">
        <f>Q19*4</f>
        <v>10</v>
      </c>
      <c r="U19" s="11">
        <f>R19*4</f>
        <v>12.8</v>
      </c>
      <c r="V19" s="12">
        <f>(4/3)*3.14*(U19/2)^3</f>
        <v>1097.5095466666669</v>
      </c>
      <c r="W19" s="12">
        <f>V19/1000</f>
        <v>1.0975095466666669</v>
      </c>
    </row>
    <row r="20" spans="1:23" x14ac:dyDescent="0.25">
      <c r="A20" s="7">
        <v>19</v>
      </c>
      <c r="B20" s="8" t="s">
        <v>48</v>
      </c>
      <c r="C20" s="8" t="s">
        <v>66</v>
      </c>
      <c r="D20" s="7" t="s">
        <v>62</v>
      </c>
      <c r="E20" s="8" t="s">
        <v>51</v>
      </c>
      <c r="F20" s="7">
        <v>600</v>
      </c>
      <c r="G20" s="7">
        <v>1400</v>
      </c>
      <c r="H20" s="7">
        <f>(F20+G20)/2</f>
        <v>1000</v>
      </c>
      <c r="I20" s="9">
        <v>9</v>
      </c>
      <c r="J20" s="10" t="s">
        <v>65</v>
      </c>
      <c r="K20" s="8" t="s">
        <v>27</v>
      </c>
      <c r="L20" s="8" t="s">
        <v>28</v>
      </c>
      <c r="M20" s="8" t="s">
        <v>39</v>
      </c>
      <c r="N20" s="8"/>
      <c r="O20" s="8" t="s">
        <v>40</v>
      </c>
      <c r="P20" s="11">
        <v>2.5</v>
      </c>
      <c r="Q20" s="11">
        <v>3.3</v>
      </c>
      <c r="R20" s="11">
        <v>3</v>
      </c>
      <c r="S20" s="11">
        <f>P20*4</f>
        <v>10</v>
      </c>
      <c r="T20" s="11">
        <f>Q20*4</f>
        <v>13.2</v>
      </c>
      <c r="U20" s="11">
        <f>R20*4</f>
        <v>12</v>
      </c>
      <c r="V20" s="12">
        <f>4/3*3.14*U20^2*T20</f>
        <v>7958.0159999999996</v>
      </c>
      <c r="W20" s="12">
        <f>V20/1000</f>
        <v>7.9580159999999998</v>
      </c>
    </row>
    <row r="21" spans="1:23" x14ac:dyDescent="0.25">
      <c r="A21" s="7">
        <v>20</v>
      </c>
      <c r="B21" s="8" t="s">
        <v>48</v>
      </c>
      <c r="C21" s="8" t="s">
        <v>67</v>
      </c>
      <c r="D21" s="7" t="s">
        <v>62</v>
      </c>
      <c r="E21" s="8" t="s">
        <v>51</v>
      </c>
      <c r="F21" s="7">
        <v>600</v>
      </c>
      <c r="G21" s="7">
        <v>1400</v>
      </c>
      <c r="H21" s="7">
        <f>(F21+G21)/2</f>
        <v>1000</v>
      </c>
      <c r="I21" s="9">
        <v>4</v>
      </c>
      <c r="J21" s="10" t="s">
        <v>32</v>
      </c>
      <c r="K21" s="8" t="s">
        <v>68</v>
      </c>
      <c r="L21" s="8" t="s">
        <v>28</v>
      </c>
      <c r="M21" s="8" t="s">
        <v>39</v>
      </c>
      <c r="N21" s="8"/>
      <c r="O21" s="8" t="s">
        <v>40</v>
      </c>
      <c r="P21" s="11">
        <v>8.1</v>
      </c>
      <c r="Q21" s="11">
        <v>8.5</v>
      </c>
      <c r="R21" s="11">
        <v>9.6999999999999993</v>
      </c>
      <c r="S21" s="11">
        <f>P21*4</f>
        <v>32.4</v>
      </c>
      <c r="T21" s="11">
        <f>Q21*4</f>
        <v>34</v>
      </c>
      <c r="U21" s="11">
        <f>R21*4</f>
        <v>38.799999999999997</v>
      </c>
      <c r="V21" s="12">
        <f>(2/3)*3.14*(U21/2)^3</f>
        <v>15284.230506666663</v>
      </c>
      <c r="W21" s="12">
        <f>V21/1000</f>
        <v>15.284230506666663</v>
      </c>
    </row>
    <row r="22" spans="1:23" x14ac:dyDescent="0.25">
      <c r="A22" s="7">
        <v>21</v>
      </c>
      <c r="B22" s="8" t="s">
        <v>48</v>
      </c>
      <c r="C22" s="8" t="s">
        <v>69</v>
      </c>
      <c r="D22" s="7" t="s">
        <v>62</v>
      </c>
      <c r="E22" s="8" t="s">
        <v>51</v>
      </c>
      <c r="F22" s="7">
        <v>600</v>
      </c>
      <c r="G22" s="7">
        <v>1400</v>
      </c>
      <c r="H22" s="7">
        <f>(F22+G22)/2</f>
        <v>1000</v>
      </c>
      <c r="I22" s="9">
        <v>2</v>
      </c>
      <c r="J22" s="10" t="s">
        <v>32</v>
      </c>
      <c r="K22" s="8" t="s">
        <v>27</v>
      </c>
      <c r="L22" s="8" t="s">
        <v>28</v>
      </c>
      <c r="M22" s="8" t="s">
        <v>39</v>
      </c>
      <c r="N22" s="8"/>
      <c r="O22" s="8" t="s">
        <v>40</v>
      </c>
      <c r="P22" s="11">
        <v>10.8</v>
      </c>
      <c r="Q22" s="11">
        <v>4.0999999999999996</v>
      </c>
      <c r="R22" s="11">
        <v>10.8</v>
      </c>
      <c r="S22" s="11">
        <f>P22*4</f>
        <v>43.2</v>
      </c>
      <c r="T22" s="11">
        <f>Q22*4</f>
        <v>16.399999999999999</v>
      </c>
      <c r="U22" s="11">
        <f>R22*4</f>
        <v>43.2</v>
      </c>
      <c r="V22" s="12">
        <f>(1/3)*3.14*T22^2*(3*(U22/2)-T22)</f>
        <v>13625.15498666667</v>
      </c>
      <c r="W22" s="12">
        <f>V22/1000</f>
        <v>13.62515498666667</v>
      </c>
    </row>
    <row r="23" spans="1:23" x14ac:dyDescent="0.25">
      <c r="A23" s="7">
        <v>22</v>
      </c>
      <c r="B23" s="8" t="s">
        <v>48</v>
      </c>
      <c r="C23" s="8" t="s">
        <v>70</v>
      </c>
      <c r="D23" s="7" t="s">
        <v>62</v>
      </c>
      <c r="E23" s="8" t="s">
        <v>51</v>
      </c>
      <c r="F23" s="7">
        <v>600</v>
      </c>
      <c r="G23" s="7">
        <v>1400</v>
      </c>
      <c r="H23" s="7">
        <f>(F23+G23)/2</f>
        <v>1000</v>
      </c>
      <c r="I23" s="9">
        <v>1</v>
      </c>
      <c r="J23" s="10" t="s">
        <v>65</v>
      </c>
      <c r="K23" s="8" t="s">
        <v>27</v>
      </c>
      <c r="L23" s="8" t="s">
        <v>28</v>
      </c>
      <c r="M23" s="8" t="s">
        <v>39</v>
      </c>
      <c r="N23" s="8"/>
      <c r="O23" s="8" t="s">
        <v>71</v>
      </c>
      <c r="P23" s="11">
        <v>2.5</v>
      </c>
      <c r="Q23" s="11">
        <v>0.5</v>
      </c>
      <c r="R23" s="11">
        <v>2.5</v>
      </c>
      <c r="S23" s="11">
        <f>P23*4</f>
        <v>10</v>
      </c>
      <c r="T23" s="11">
        <f>Q23*4</f>
        <v>2</v>
      </c>
      <c r="U23" s="11">
        <f>R23*4</f>
        <v>10</v>
      </c>
      <c r="V23" s="12">
        <f>(1/3)*3.14*T23^2*(3*(U23/2)-T23)</f>
        <v>54.426666666666662</v>
      </c>
      <c r="W23" s="12">
        <f>V23/1000</f>
        <v>5.4426666666666665E-2</v>
      </c>
    </row>
    <row r="24" spans="1:23" x14ac:dyDescent="0.25">
      <c r="A24" s="7">
        <v>23</v>
      </c>
      <c r="B24" s="8" t="s">
        <v>48</v>
      </c>
      <c r="C24" s="8" t="s">
        <v>72</v>
      </c>
      <c r="D24" s="7" t="s">
        <v>62</v>
      </c>
      <c r="E24" s="8" t="s">
        <v>51</v>
      </c>
      <c r="F24" s="7">
        <v>600</v>
      </c>
      <c r="G24" s="7">
        <v>1400</v>
      </c>
      <c r="H24" s="7">
        <f>(F24+G24)/2</f>
        <v>1000</v>
      </c>
      <c r="I24" s="9">
        <v>3</v>
      </c>
      <c r="J24" s="10" t="s">
        <v>26</v>
      </c>
      <c r="K24" s="8" t="s">
        <v>27</v>
      </c>
      <c r="L24" s="8" t="s">
        <v>28</v>
      </c>
      <c r="M24" s="8" t="s">
        <v>39</v>
      </c>
      <c r="N24" s="8"/>
      <c r="O24" s="8" t="s">
        <v>71</v>
      </c>
      <c r="P24" s="11">
        <v>3.7</v>
      </c>
      <c r="Q24" s="11">
        <v>1.1000000000000001</v>
      </c>
      <c r="R24" s="11">
        <v>4.4000000000000004</v>
      </c>
      <c r="S24" s="11">
        <f>P24*4</f>
        <v>14.8</v>
      </c>
      <c r="T24" s="11">
        <f>Q24*4</f>
        <v>4.4000000000000004</v>
      </c>
      <c r="U24" s="11">
        <f>R24*4</f>
        <v>17.600000000000001</v>
      </c>
      <c r="V24" s="12">
        <f>4/3*3.14*U24^2*T24</f>
        <v>5706.1922133333346</v>
      </c>
      <c r="W24" s="12">
        <f>V24/1000</f>
        <v>5.7061922133333347</v>
      </c>
    </row>
    <row r="25" spans="1:23" x14ac:dyDescent="0.25">
      <c r="A25" s="7">
        <v>24</v>
      </c>
      <c r="B25" s="8" t="s">
        <v>48</v>
      </c>
      <c r="C25" s="8" t="s">
        <v>73</v>
      </c>
      <c r="D25" s="7" t="s">
        <v>62</v>
      </c>
      <c r="E25" s="8" t="s">
        <v>51</v>
      </c>
      <c r="F25" s="7">
        <v>600</v>
      </c>
      <c r="G25" s="7">
        <v>1400</v>
      </c>
      <c r="H25" s="7">
        <f>(F25+G25)/2</f>
        <v>1000</v>
      </c>
      <c r="I25" s="9">
        <v>7</v>
      </c>
      <c r="J25" s="10" t="s">
        <v>26</v>
      </c>
      <c r="K25" s="8" t="s">
        <v>27</v>
      </c>
      <c r="L25" s="8" t="s">
        <v>28</v>
      </c>
      <c r="M25" s="8" t="s">
        <v>39</v>
      </c>
      <c r="N25" s="8"/>
      <c r="O25" s="8" t="s">
        <v>40</v>
      </c>
      <c r="P25" s="11">
        <v>3.3</v>
      </c>
      <c r="Q25" s="11">
        <v>1.2</v>
      </c>
      <c r="R25" s="11">
        <v>4.2</v>
      </c>
      <c r="S25" s="11">
        <f>P25*4</f>
        <v>13.2</v>
      </c>
      <c r="T25" s="11">
        <f>Q25*4</f>
        <v>4.8</v>
      </c>
      <c r="U25" s="11">
        <f>R25*4</f>
        <v>16.8</v>
      </c>
      <c r="V25" s="12">
        <f>4/3*3.14*U25^2*T25</f>
        <v>5671.8950400000003</v>
      </c>
      <c r="W25" s="12">
        <f>V25/1000</f>
        <v>5.6718950400000008</v>
      </c>
    </row>
    <row r="26" spans="1:23" x14ac:dyDescent="0.25">
      <c r="A26" s="7">
        <v>25</v>
      </c>
      <c r="B26" s="8" t="s">
        <v>48</v>
      </c>
      <c r="C26" s="8" t="s">
        <v>74</v>
      </c>
      <c r="D26" s="7" t="s">
        <v>62</v>
      </c>
      <c r="E26" s="8" t="s">
        <v>51</v>
      </c>
      <c r="F26" s="7">
        <v>600</v>
      </c>
      <c r="G26" s="7">
        <v>1400</v>
      </c>
      <c r="H26" s="7">
        <f>(F26+G26)/2</f>
        <v>1000</v>
      </c>
      <c r="I26" s="9">
        <v>8</v>
      </c>
      <c r="J26" s="10" t="s">
        <v>65</v>
      </c>
      <c r="K26" s="8" t="s">
        <v>27</v>
      </c>
      <c r="L26" s="8" t="s">
        <v>28</v>
      </c>
      <c r="M26" s="8" t="s">
        <v>39</v>
      </c>
      <c r="N26" s="8"/>
      <c r="O26" s="8" t="s">
        <v>40</v>
      </c>
      <c r="P26" s="11">
        <v>1.9</v>
      </c>
      <c r="Q26" s="11">
        <v>1.4</v>
      </c>
      <c r="R26" s="11">
        <v>3.2</v>
      </c>
      <c r="S26" s="11">
        <f>P26*4</f>
        <v>7.6</v>
      </c>
      <c r="T26" s="11">
        <f>Q26*4</f>
        <v>5.6</v>
      </c>
      <c r="U26" s="11">
        <f>R26*4</f>
        <v>12.8</v>
      </c>
      <c r="V26" s="12">
        <f>4/3*3.14*U26^2*T26</f>
        <v>3841.2834133333336</v>
      </c>
      <c r="W26" s="12">
        <f>V26/1000</f>
        <v>3.8412834133333336</v>
      </c>
    </row>
    <row r="27" spans="1:23" x14ac:dyDescent="0.25">
      <c r="A27" s="7">
        <v>26</v>
      </c>
      <c r="B27" s="8" t="s">
        <v>48</v>
      </c>
      <c r="C27" s="8" t="s">
        <v>75</v>
      </c>
      <c r="D27" s="7" t="s">
        <v>62</v>
      </c>
      <c r="E27" s="8" t="s">
        <v>51</v>
      </c>
      <c r="F27" s="7">
        <v>600</v>
      </c>
      <c r="G27" s="7">
        <v>1400</v>
      </c>
      <c r="H27" s="7">
        <f>(F27+G27)/2</f>
        <v>1000</v>
      </c>
      <c r="I27" s="9">
        <v>8</v>
      </c>
      <c r="J27" s="10" t="s">
        <v>26</v>
      </c>
      <c r="K27" s="8" t="s">
        <v>27</v>
      </c>
      <c r="L27" s="8" t="s">
        <v>28</v>
      </c>
      <c r="M27" s="8" t="s">
        <v>39</v>
      </c>
      <c r="N27" s="8"/>
      <c r="O27" s="8" t="s">
        <v>40</v>
      </c>
      <c r="P27" s="11">
        <v>3.7</v>
      </c>
      <c r="Q27" s="11">
        <v>2.1</v>
      </c>
      <c r="R27" s="11">
        <v>4.9000000000000004</v>
      </c>
      <c r="S27" s="11">
        <f>P27*4</f>
        <v>14.8</v>
      </c>
      <c r="T27" s="11">
        <f>Q27*4</f>
        <v>8.4</v>
      </c>
      <c r="U27" s="11">
        <f>R27*4</f>
        <v>19.600000000000001</v>
      </c>
      <c r="V27" s="12">
        <f>4/3*3.14*U27^2*T27</f>
        <v>13510.138880000002</v>
      </c>
      <c r="W27" s="12">
        <f>V27/1000</f>
        <v>13.510138880000003</v>
      </c>
    </row>
    <row r="28" spans="1:23" x14ac:dyDescent="0.25">
      <c r="A28" s="7">
        <v>27</v>
      </c>
      <c r="B28" s="8" t="s">
        <v>48</v>
      </c>
      <c r="C28" s="8" t="s">
        <v>76</v>
      </c>
      <c r="D28" s="7" t="s">
        <v>62</v>
      </c>
      <c r="E28" s="8" t="s">
        <v>51</v>
      </c>
      <c r="F28" s="7">
        <v>600</v>
      </c>
      <c r="G28" s="7">
        <v>1400</v>
      </c>
      <c r="H28" s="7">
        <f>(F28+G28)/2</f>
        <v>1000</v>
      </c>
      <c r="I28" s="9">
        <v>5</v>
      </c>
      <c r="J28" s="10" t="s">
        <v>32</v>
      </c>
      <c r="K28" s="8" t="s">
        <v>77</v>
      </c>
      <c r="L28" s="8" t="s">
        <v>77</v>
      </c>
      <c r="M28" s="8"/>
      <c r="N28" s="8"/>
      <c r="O28" s="8" t="s">
        <v>44</v>
      </c>
      <c r="P28" s="11">
        <v>7.3</v>
      </c>
      <c r="Q28" s="11">
        <v>9.5</v>
      </c>
      <c r="R28" s="11">
        <v>9.6999999999999993</v>
      </c>
      <c r="S28" s="11">
        <f>P28*4</f>
        <v>29.2</v>
      </c>
      <c r="T28" s="11">
        <f>Q28*4</f>
        <v>38</v>
      </c>
      <c r="U28" s="11">
        <f>R28*4</f>
        <v>38.799999999999997</v>
      </c>
      <c r="V28" s="12">
        <f>(4/3)*3.14*(U28/2)^3</f>
        <v>30568.461013333326</v>
      </c>
      <c r="W28" s="12">
        <f>V28/1000</f>
        <v>30.568461013333327</v>
      </c>
    </row>
    <row r="29" spans="1:23" x14ac:dyDescent="0.25">
      <c r="A29" s="7">
        <v>28</v>
      </c>
      <c r="B29" s="8" t="s">
        <v>48</v>
      </c>
      <c r="C29" s="8" t="s">
        <v>78</v>
      </c>
      <c r="D29" s="7" t="s">
        <v>62</v>
      </c>
      <c r="E29" s="8" t="s">
        <v>51</v>
      </c>
      <c r="F29" s="7">
        <v>600</v>
      </c>
      <c r="G29" s="7">
        <v>1400</v>
      </c>
      <c r="H29" s="7">
        <f>(F29+G29)/2</f>
        <v>1000</v>
      </c>
      <c r="I29" s="9">
        <v>5</v>
      </c>
      <c r="J29" s="10" t="s">
        <v>34</v>
      </c>
      <c r="K29" s="8" t="s">
        <v>42</v>
      </c>
      <c r="L29" s="8" t="s">
        <v>43</v>
      </c>
      <c r="M29" s="8" t="s">
        <v>39</v>
      </c>
      <c r="N29" s="8"/>
      <c r="O29" s="8" t="s">
        <v>40</v>
      </c>
      <c r="P29" s="11">
        <v>6.4</v>
      </c>
      <c r="Q29" s="11">
        <v>6.7</v>
      </c>
      <c r="R29" s="11">
        <v>7.9</v>
      </c>
      <c r="S29" s="11">
        <f>P29*4</f>
        <v>25.6</v>
      </c>
      <c r="T29" s="11">
        <f>Q29*4</f>
        <v>26.8</v>
      </c>
      <c r="U29" s="11">
        <f>R29*4</f>
        <v>31.6</v>
      </c>
      <c r="V29" s="12">
        <f>(4/3)*3.14*(U29/2)^3</f>
        <v>16513.519573333335</v>
      </c>
      <c r="W29" s="12">
        <f>V29/1000</f>
        <v>16.513519573333333</v>
      </c>
    </row>
    <row r="30" spans="1:23" x14ac:dyDescent="0.25">
      <c r="A30" s="7">
        <v>29</v>
      </c>
      <c r="B30" s="8" t="s">
        <v>48</v>
      </c>
      <c r="C30" s="8" t="s">
        <v>79</v>
      </c>
      <c r="D30" s="7" t="s">
        <v>62</v>
      </c>
      <c r="E30" s="8" t="s">
        <v>51</v>
      </c>
      <c r="F30" s="7">
        <v>600</v>
      </c>
      <c r="G30" s="7">
        <v>1400</v>
      </c>
      <c r="H30" s="7">
        <f>(F30+G30)/2</f>
        <v>1000</v>
      </c>
      <c r="I30" s="9">
        <v>5</v>
      </c>
      <c r="J30" s="10" t="s">
        <v>32</v>
      </c>
      <c r="K30" s="8" t="s">
        <v>77</v>
      </c>
      <c r="L30" s="8" t="s">
        <v>77</v>
      </c>
      <c r="M30" s="8" t="s">
        <v>39</v>
      </c>
      <c r="N30" s="8"/>
      <c r="O30" s="8" t="s">
        <v>40</v>
      </c>
      <c r="P30" s="11">
        <v>7.9</v>
      </c>
      <c r="Q30" s="11">
        <v>9.1</v>
      </c>
      <c r="R30" s="11">
        <v>9.9</v>
      </c>
      <c r="S30" s="11">
        <f>P30*4</f>
        <v>31.6</v>
      </c>
      <c r="T30" s="11">
        <f>Q30*4</f>
        <v>36.4</v>
      </c>
      <c r="U30" s="11">
        <f>R30*4</f>
        <v>39.6</v>
      </c>
      <c r="V30" s="12">
        <f>(4/3)*3.14*(U30/2)^3</f>
        <v>32498.547840000003</v>
      </c>
      <c r="W30" s="12">
        <f>V30/1000</f>
        <v>32.498547840000001</v>
      </c>
    </row>
    <row r="31" spans="1:23" x14ac:dyDescent="0.25">
      <c r="A31" s="7">
        <v>30</v>
      </c>
      <c r="B31" s="8" t="s">
        <v>48</v>
      </c>
      <c r="C31" s="8" t="s">
        <v>80</v>
      </c>
      <c r="D31" s="7" t="s">
        <v>62</v>
      </c>
      <c r="E31" s="8" t="s">
        <v>51</v>
      </c>
      <c r="F31" s="7">
        <v>600</v>
      </c>
      <c r="G31" s="7">
        <v>1400</v>
      </c>
      <c r="H31" s="7">
        <f>(F31+G31)/2</f>
        <v>1000</v>
      </c>
      <c r="I31" s="9">
        <v>5</v>
      </c>
      <c r="J31" s="10" t="s">
        <v>81</v>
      </c>
      <c r="K31" s="8" t="s">
        <v>59</v>
      </c>
      <c r="L31" s="8" t="s">
        <v>60</v>
      </c>
      <c r="M31" s="8" t="s">
        <v>39</v>
      </c>
      <c r="N31" s="8"/>
      <c r="O31" s="8" t="s">
        <v>40</v>
      </c>
      <c r="P31" s="11">
        <v>11.8</v>
      </c>
      <c r="Q31" s="11">
        <v>12.1</v>
      </c>
      <c r="R31" s="11">
        <v>14.6</v>
      </c>
      <c r="S31" s="11">
        <f>P31*4</f>
        <v>47.2</v>
      </c>
      <c r="T31" s="11">
        <f>Q31*4</f>
        <v>48.4</v>
      </c>
      <c r="U31" s="11">
        <f>R31*4</f>
        <v>58.4</v>
      </c>
      <c r="V31" s="12">
        <f>(4/3)*3.14*(U31/2)^3</f>
        <v>104235.80842666666</v>
      </c>
      <c r="W31" s="12">
        <f>V31/1000</f>
        <v>104.23580842666665</v>
      </c>
    </row>
    <row r="32" spans="1:23" x14ac:dyDescent="0.25">
      <c r="A32" s="7">
        <v>31</v>
      </c>
      <c r="B32" s="8" t="s">
        <v>48</v>
      </c>
      <c r="C32" s="8" t="s">
        <v>82</v>
      </c>
      <c r="D32" s="7" t="s">
        <v>62</v>
      </c>
      <c r="E32" s="8" t="s">
        <v>51</v>
      </c>
      <c r="F32" s="7">
        <v>600</v>
      </c>
      <c r="G32" s="7">
        <v>1400</v>
      </c>
      <c r="H32" s="7">
        <f>(F32+G32)/2</f>
        <v>1000</v>
      </c>
      <c r="I32" s="9">
        <v>5</v>
      </c>
      <c r="J32" s="10" t="s">
        <v>65</v>
      </c>
      <c r="K32" s="8" t="s">
        <v>42</v>
      </c>
      <c r="L32" s="8" t="s">
        <v>43</v>
      </c>
      <c r="M32" s="8" t="s">
        <v>39</v>
      </c>
      <c r="N32" s="8"/>
      <c r="O32" s="8" t="s">
        <v>40</v>
      </c>
      <c r="P32" s="11">
        <v>2.2000000000000002</v>
      </c>
      <c r="Q32" s="11">
        <v>2.9</v>
      </c>
      <c r="R32" s="11">
        <v>3</v>
      </c>
      <c r="S32" s="11">
        <f>P32*4</f>
        <v>8.8000000000000007</v>
      </c>
      <c r="T32" s="11">
        <f>Q32*4</f>
        <v>11.6</v>
      </c>
      <c r="U32" s="11">
        <f>R32*4</f>
        <v>12</v>
      </c>
      <c r="V32" s="12">
        <f>(4/3)*3.14*(U32/2)^3</f>
        <v>904.31999999999994</v>
      </c>
      <c r="W32" s="12">
        <f>V32/1000</f>
        <v>0.9043199999999999</v>
      </c>
    </row>
    <row r="33" spans="1:23" x14ac:dyDescent="0.25">
      <c r="A33" s="7">
        <v>32</v>
      </c>
      <c r="B33" s="8" t="s">
        <v>48</v>
      </c>
      <c r="C33" s="8" t="s">
        <v>83</v>
      </c>
      <c r="D33" s="7" t="s">
        <v>62</v>
      </c>
      <c r="E33" s="8" t="s">
        <v>51</v>
      </c>
      <c r="F33" s="7">
        <v>600</v>
      </c>
      <c r="G33" s="7">
        <v>1400</v>
      </c>
      <c r="H33" s="7">
        <f>(F33+G33)/2</f>
        <v>1000</v>
      </c>
      <c r="I33" s="9">
        <v>5</v>
      </c>
      <c r="J33" s="10" t="s">
        <v>26</v>
      </c>
      <c r="K33" s="8" t="s">
        <v>56</v>
      </c>
      <c r="L33" s="8" t="s">
        <v>43</v>
      </c>
      <c r="M33" s="8" t="s">
        <v>39</v>
      </c>
      <c r="N33" s="8"/>
      <c r="O33" s="8" t="s">
        <v>40</v>
      </c>
      <c r="P33" s="11">
        <v>3.9</v>
      </c>
      <c r="Q33" s="11">
        <v>4.4000000000000004</v>
      </c>
      <c r="R33" s="11">
        <v>5.8</v>
      </c>
      <c r="S33" s="11">
        <f>P33*4</f>
        <v>15.6</v>
      </c>
      <c r="T33" s="11">
        <f>Q33*4</f>
        <v>17.600000000000001</v>
      </c>
      <c r="U33" s="11">
        <f>R33*4</f>
        <v>23.2</v>
      </c>
      <c r="V33" s="12">
        <f>(4/3)*3.14*(U33/2)^3</f>
        <v>6534.9512533333327</v>
      </c>
      <c r="W33" s="12">
        <f>V33/1000</f>
        <v>6.5349512533333325</v>
      </c>
    </row>
    <row r="34" spans="1:23" x14ac:dyDescent="0.25">
      <c r="A34" s="7">
        <v>33</v>
      </c>
      <c r="B34" s="8" t="s">
        <v>48</v>
      </c>
      <c r="C34" s="8" t="s">
        <v>84</v>
      </c>
      <c r="D34" s="7" t="s">
        <v>62</v>
      </c>
      <c r="E34" s="8" t="s">
        <v>51</v>
      </c>
      <c r="F34" s="7">
        <v>600</v>
      </c>
      <c r="G34" s="7">
        <v>1400</v>
      </c>
      <c r="H34" s="7">
        <f>(F34+G34)/2</f>
        <v>1000</v>
      </c>
      <c r="I34" s="9">
        <v>4</v>
      </c>
      <c r="J34" s="10" t="s">
        <v>26</v>
      </c>
      <c r="K34" s="8" t="s">
        <v>42</v>
      </c>
      <c r="L34" s="8" t="s">
        <v>43</v>
      </c>
      <c r="M34" s="8" t="s">
        <v>39</v>
      </c>
      <c r="N34" s="8"/>
      <c r="O34" s="8" t="s">
        <v>40</v>
      </c>
      <c r="P34" s="11">
        <v>5.2</v>
      </c>
      <c r="Q34" s="11">
        <v>3</v>
      </c>
      <c r="R34" s="11">
        <v>5.2</v>
      </c>
      <c r="S34" s="11">
        <f>P34*4</f>
        <v>20.8</v>
      </c>
      <c r="T34" s="11">
        <f>Q34*4</f>
        <v>12</v>
      </c>
      <c r="U34" s="11">
        <f>R34*4</f>
        <v>20.8</v>
      </c>
      <c r="V34" s="12">
        <f>(2/3)*3.14*(U34/2)^3</f>
        <v>2354.7153066666669</v>
      </c>
      <c r="W34" s="12">
        <f>V34/1000</f>
        <v>2.3547153066666668</v>
      </c>
    </row>
    <row r="35" spans="1:23" x14ac:dyDescent="0.25">
      <c r="A35" s="7">
        <v>34</v>
      </c>
      <c r="B35" s="8" t="s">
        <v>48</v>
      </c>
      <c r="C35" s="8" t="s">
        <v>85</v>
      </c>
      <c r="D35" s="7" t="s">
        <v>62</v>
      </c>
      <c r="E35" s="8" t="s">
        <v>51</v>
      </c>
      <c r="F35" s="7">
        <v>600</v>
      </c>
      <c r="G35" s="7">
        <v>1400</v>
      </c>
      <c r="H35" s="7">
        <f>(F35+G35)/2</f>
        <v>1000</v>
      </c>
      <c r="I35" s="9">
        <v>5</v>
      </c>
      <c r="J35" s="10" t="s">
        <v>34</v>
      </c>
      <c r="K35" s="8" t="s">
        <v>56</v>
      </c>
      <c r="L35" s="8" t="s">
        <v>43</v>
      </c>
      <c r="M35" s="8" t="s">
        <v>39</v>
      </c>
      <c r="N35" s="8"/>
      <c r="O35" s="8" t="s">
        <v>40</v>
      </c>
      <c r="P35" s="11">
        <v>4.7</v>
      </c>
      <c r="Q35" s="11">
        <v>6.4</v>
      </c>
      <c r="R35" s="11">
        <v>7.6</v>
      </c>
      <c r="S35" s="11">
        <f>P35*4</f>
        <v>18.8</v>
      </c>
      <c r="T35" s="11">
        <f>Q35*4</f>
        <v>25.6</v>
      </c>
      <c r="U35" s="11">
        <f>R35*4</f>
        <v>30.4</v>
      </c>
      <c r="V35" s="12">
        <f>(4/3)*3.14*(U35/2)^3</f>
        <v>14702.769493333331</v>
      </c>
      <c r="W35" s="12">
        <f>V35/1000</f>
        <v>14.702769493333331</v>
      </c>
    </row>
    <row r="36" spans="1:23" x14ac:dyDescent="0.25">
      <c r="A36" s="7">
        <v>35</v>
      </c>
      <c r="B36" s="8" t="s">
        <v>48</v>
      </c>
      <c r="C36" s="8" t="s">
        <v>86</v>
      </c>
      <c r="D36" s="7" t="s">
        <v>62</v>
      </c>
      <c r="E36" s="8" t="s">
        <v>51</v>
      </c>
      <c r="F36" s="7">
        <v>600</v>
      </c>
      <c r="G36" s="7">
        <v>1400</v>
      </c>
      <c r="H36" s="7">
        <f>(F36+G36)/2</f>
        <v>1000</v>
      </c>
      <c r="I36" s="9">
        <v>5</v>
      </c>
      <c r="J36" s="10" t="s">
        <v>34</v>
      </c>
      <c r="K36" s="8" t="s">
        <v>42</v>
      </c>
      <c r="L36" s="8" t="s">
        <v>43</v>
      </c>
      <c r="M36" s="8" t="s">
        <v>39</v>
      </c>
      <c r="N36" s="8"/>
      <c r="O36" s="8" t="s">
        <v>40</v>
      </c>
      <c r="P36" s="11">
        <v>5.5</v>
      </c>
      <c r="Q36" s="11">
        <v>7.4</v>
      </c>
      <c r="R36" s="11">
        <v>7.4</v>
      </c>
      <c r="S36" s="11">
        <f>P36*4</f>
        <v>22</v>
      </c>
      <c r="T36" s="11">
        <f>Q36*4</f>
        <v>29.6</v>
      </c>
      <c r="U36" s="11">
        <f>R36*4</f>
        <v>29.6</v>
      </c>
      <c r="V36" s="12">
        <f>(4/3)*3.14*(U36/2)^3</f>
        <v>13572.302506666669</v>
      </c>
      <c r="W36" s="12">
        <f>V36/1000</f>
        <v>13.572302506666668</v>
      </c>
    </row>
    <row r="37" spans="1:23" x14ac:dyDescent="0.25">
      <c r="A37" s="7">
        <v>36</v>
      </c>
      <c r="B37" s="8" t="s">
        <v>48</v>
      </c>
      <c r="C37" s="8" t="s">
        <v>87</v>
      </c>
      <c r="D37" s="7" t="s">
        <v>62</v>
      </c>
      <c r="E37" s="8" t="s">
        <v>51</v>
      </c>
      <c r="F37" s="7">
        <v>600</v>
      </c>
      <c r="G37" s="7">
        <v>1400</v>
      </c>
      <c r="H37" s="7">
        <f>(F37+G37)/2</f>
        <v>1000</v>
      </c>
      <c r="I37" s="9">
        <v>6</v>
      </c>
      <c r="J37" s="10" t="s">
        <v>81</v>
      </c>
      <c r="K37" s="8" t="s">
        <v>42</v>
      </c>
      <c r="L37" s="8" t="s">
        <v>43</v>
      </c>
      <c r="M37" s="8"/>
      <c r="N37" s="8"/>
      <c r="O37" s="8" t="s">
        <v>29</v>
      </c>
      <c r="P37" s="11">
        <v>7.8</v>
      </c>
      <c r="Q37" s="11">
        <v>11.2</v>
      </c>
      <c r="R37" s="11">
        <v>12</v>
      </c>
      <c r="S37" s="11">
        <f>P37*4</f>
        <v>31.2</v>
      </c>
      <c r="T37" s="11">
        <f>Q37*4</f>
        <v>44.8</v>
      </c>
      <c r="U37" s="11">
        <f>R37*4</f>
        <v>48</v>
      </c>
      <c r="V37" s="12">
        <f>(4/3)*3.14*(U37/2)^3</f>
        <v>57876.479999999996</v>
      </c>
      <c r="W37" s="12">
        <f>V37/1000</f>
        <v>57.876479999999994</v>
      </c>
    </row>
    <row r="38" spans="1:23" x14ac:dyDescent="0.25">
      <c r="A38" s="7">
        <v>37</v>
      </c>
      <c r="B38" s="8" t="s">
        <v>48</v>
      </c>
      <c r="C38" s="8" t="s">
        <v>88</v>
      </c>
      <c r="D38" s="7" t="s">
        <v>62</v>
      </c>
      <c r="E38" s="8" t="s">
        <v>51</v>
      </c>
      <c r="F38" s="7">
        <v>600</v>
      </c>
      <c r="G38" s="7">
        <v>1400</v>
      </c>
      <c r="H38" s="7">
        <f>(F38+G38)/2</f>
        <v>1000</v>
      </c>
      <c r="I38" s="9">
        <v>6</v>
      </c>
      <c r="J38" s="10" t="s">
        <v>34</v>
      </c>
      <c r="K38" s="8" t="s">
        <v>42</v>
      </c>
      <c r="L38" s="8" t="s">
        <v>43</v>
      </c>
      <c r="M38" s="8" t="s">
        <v>39</v>
      </c>
      <c r="N38" s="8"/>
      <c r="O38" s="8" t="s">
        <v>40</v>
      </c>
      <c r="P38" s="11">
        <v>3.2</v>
      </c>
      <c r="Q38" s="11">
        <v>9.6</v>
      </c>
      <c r="R38" s="11">
        <v>8.5</v>
      </c>
      <c r="S38" s="11">
        <f>P38*4</f>
        <v>12.8</v>
      </c>
      <c r="T38" s="11">
        <f>Q38*4</f>
        <v>38.4</v>
      </c>
      <c r="U38" s="11">
        <f>R38*4</f>
        <v>34</v>
      </c>
      <c r="V38" s="12">
        <f>(4/3)*3.14*(U38/2)^3</f>
        <v>20569.093333333334</v>
      </c>
      <c r="W38" s="12">
        <f>V38/1000</f>
        <v>20.569093333333335</v>
      </c>
    </row>
    <row r="39" spans="1:23" x14ac:dyDescent="0.25">
      <c r="A39" s="7">
        <v>38</v>
      </c>
      <c r="B39" s="8" t="s">
        <v>48</v>
      </c>
      <c r="C39" s="8" t="s">
        <v>89</v>
      </c>
      <c r="D39" s="7" t="s">
        <v>62</v>
      </c>
      <c r="E39" s="8" t="s">
        <v>51</v>
      </c>
      <c r="F39" s="7">
        <v>600</v>
      </c>
      <c r="G39" s="7">
        <v>1400</v>
      </c>
      <c r="H39" s="7">
        <f>(F39+G39)/2</f>
        <v>1000</v>
      </c>
      <c r="I39" s="9">
        <v>6</v>
      </c>
      <c r="J39" s="10" t="s">
        <v>34</v>
      </c>
      <c r="K39" s="8" t="s">
        <v>42</v>
      </c>
      <c r="L39" s="8" t="s">
        <v>43</v>
      </c>
      <c r="M39" s="8" t="s">
        <v>39</v>
      </c>
      <c r="N39" s="8"/>
      <c r="O39" s="8" t="s">
        <v>40</v>
      </c>
      <c r="P39" s="11">
        <v>3.5</v>
      </c>
      <c r="Q39" s="11">
        <v>7.1</v>
      </c>
      <c r="R39" s="11">
        <v>6.8</v>
      </c>
      <c r="S39" s="11">
        <f>P39*4</f>
        <v>14</v>
      </c>
      <c r="T39" s="11">
        <f>Q39*4</f>
        <v>28.4</v>
      </c>
      <c r="U39" s="11">
        <f>R39*4</f>
        <v>27.2</v>
      </c>
      <c r="V39" s="12">
        <f>(4/3)*3.14*(U39/2)^3</f>
        <v>10531.375786666666</v>
      </c>
      <c r="W39" s="12">
        <f>V39/1000</f>
        <v>10.531375786666665</v>
      </c>
    </row>
    <row r="40" spans="1:23" x14ac:dyDescent="0.25">
      <c r="A40" s="7">
        <v>39</v>
      </c>
      <c r="B40" s="8" t="s">
        <v>48</v>
      </c>
      <c r="C40" s="8" t="s">
        <v>90</v>
      </c>
      <c r="D40" s="7" t="s">
        <v>62</v>
      </c>
      <c r="E40" s="8" t="s">
        <v>51</v>
      </c>
      <c r="F40" s="7">
        <v>600</v>
      </c>
      <c r="G40" s="7">
        <v>1400</v>
      </c>
      <c r="H40" s="7">
        <f>(F40+G40)/2</f>
        <v>1000</v>
      </c>
      <c r="I40" s="9">
        <v>5</v>
      </c>
      <c r="J40" s="10" t="s">
        <v>34</v>
      </c>
      <c r="K40" s="8" t="s">
        <v>56</v>
      </c>
      <c r="L40" s="8" t="s">
        <v>43</v>
      </c>
      <c r="M40" s="8" t="s">
        <v>39</v>
      </c>
      <c r="N40" s="8"/>
      <c r="O40" s="8" t="s">
        <v>40</v>
      </c>
      <c r="P40" s="11">
        <v>4.9000000000000004</v>
      </c>
      <c r="Q40" s="11">
        <v>6</v>
      </c>
      <c r="R40" s="11">
        <v>6.7</v>
      </c>
      <c r="S40" s="11">
        <f>P40*4</f>
        <v>19.600000000000001</v>
      </c>
      <c r="T40" s="11">
        <f>Q40*4</f>
        <v>24</v>
      </c>
      <c r="U40" s="11">
        <f>R40*4</f>
        <v>26.8</v>
      </c>
      <c r="V40" s="12">
        <f>(4/3)*3.14*(U40/2)^3</f>
        <v>10073.555413333333</v>
      </c>
      <c r="W40" s="12">
        <f>V40/1000</f>
        <v>10.073555413333333</v>
      </c>
    </row>
    <row r="41" spans="1:23" x14ac:dyDescent="0.25">
      <c r="A41" s="7">
        <v>40</v>
      </c>
      <c r="B41" s="8" t="s">
        <v>48</v>
      </c>
      <c r="C41" s="8" t="s">
        <v>91</v>
      </c>
      <c r="D41" s="7" t="s">
        <v>62</v>
      </c>
      <c r="E41" s="8" t="s">
        <v>51</v>
      </c>
      <c r="F41" s="7">
        <v>600</v>
      </c>
      <c r="G41" s="7">
        <v>1400</v>
      </c>
      <c r="H41" s="7">
        <f>(F41+G41)/2</f>
        <v>1000</v>
      </c>
      <c r="I41" s="9">
        <v>5</v>
      </c>
      <c r="J41" s="10" t="s">
        <v>32</v>
      </c>
      <c r="K41" s="8" t="s">
        <v>42</v>
      </c>
      <c r="L41" s="8" t="s">
        <v>43</v>
      </c>
      <c r="M41" s="8" t="s">
        <v>39</v>
      </c>
      <c r="N41" s="8"/>
      <c r="O41" s="8" t="s">
        <v>40</v>
      </c>
      <c r="P41" s="11">
        <v>7.8</v>
      </c>
      <c r="Q41" s="11">
        <v>8.8000000000000007</v>
      </c>
      <c r="R41" s="11">
        <v>10.1</v>
      </c>
      <c r="S41" s="11">
        <f>P41*4</f>
        <v>31.2</v>
      </c>
      <c r="T41" s="11">
        <f>Q41*4</f>
        <v>35.200000000000003</v>
      </c>
      <c r="U41" s="11">
        <f>R41*4</f>
        <v>40.4</v>
      </c>
      <c r="V41" s="12">
        <f>(4/3)*3.14*(U41/2)^3</f>
        <v>34508.214826666663</v>
      </c>
      <c r="W41" s="12">
        <f>V41/1000</f>
        <v>34.508214826666659</v>
      </c>
    </row>
    <row r="42" spans="1:23" x14ac:dyDescent="0.25">
      <c r="A42" s="7">
        <v>41</v>
      </c>
      <c r="B42" s="8" t="s">
        <v>48</v>
      </c>
      <c r="C42" s="8" t="s">
        <v>92</v>
      </c>
      <c r="D42" s="7" t="s">
        <v>62</v>
      </c>
      <c r="E42" s="8" t="s">
        <v>51</v>
      </c>
      <c r="F42" s="7">
        <v>600</v>
      </c>
      <c r="G42" s="7">
        <v>1400</v>
      </c>
      <c r="H42" s="7">
        <f>(F42+G42)/2</f>
        <v>1000</v>
      </c>
      <c r="I42" s="9">
        <v>5</v>
      </c>
      <c r="J42" s="10" t="s">
        <v>34</v>
      </c>
      <c r="K42" s="8" t="s">
        <v>56</v>
      </c>
      <c r="L42" s="8" t="s">
        <v>43</v>
      </c>
      <c r="M42" s="8"/>
      <c r="N42" s="8"/>
      <c r="O42" s="8" t="s">
        <v>29</v>
      </c>
      <c r="P42" s="11">
        <v>5.8</v>
      </c>
      <c r="Q42" s="11">
        <v>7.2</v>
      </c>
      <c r="R42" s="11">
        <v>7.5</v>
      </c>
      <c r="S42" s="11">
        <f>P42*4</f>
        <v>23.2</v>
      </c>
      <c r="T42" s="11">
        <f>Q42*4</f>
        <v>28.8</v>
      </c>
      <c r="U42" s="11">
        <f>R42*4</f>
        <v>30</v>
      </c>
      <c r="V42" s="12">
        <f>(4/3)*3.14*(U42/2)^3</f>
        <v>14130</v>
      </c>
      <c r="W42" s="12">
        <f>V42/1000</f>
        <v>14.13</v>
      </c>
    </row>
    <row r="43" spans="1:23" x14ac:dyDescent="0.25">
      <c r="A43" s="7">
        <v>42</v>
      </c>
      <c r="B43" s="8" t="s">
        <v>48</v>
      </c>
      <c r="C43" s="8" t="s">
        <v>93</v>
      </c>
      <c r="D43" s="7" t="s">
        <v>62</v>
      </c>
      <c r="E43" s="8" t="s">
        <v>51</v>
      </c>
      <c r="F43" s="7">
        <v>600</v>
      </c>
      <c r="G43" s="7">
        <v>1400</v>
      </c>
      <c r="H43" s="7">
        <f>(F43+G43)/2</f>
        <v>1000</v>
      </c>
      <c r="I43" s="9">
        <v>5</v>
      </c>
      <c r="J43" s="10" t="s">
        <v>32</v>
      </c>
      <c r="K43" s="8" t="s">
        <v>42</v>
      </c>
      <c r="L43" s="8" t="s">
        <v>43</v>
      </c>
      <c r="M43" s="8"/>
      <c r="N43" s="8"/>
      <c r="O43" s="8" t="s">
        <v>29</v>
      </c>
      <c r="P43" s="11">
        <v>7.1</v>
      </c>
      <c r="Q43" s="11">
        <v>8.6999999999999993</v>
      </c>
      <c r="R43" s="11">
        <v>9.3000000000000007</v>
      </c>
      <c r="S43" s="11">
        <f>P43*4</f>
        <v>28.4</v>
      </c>
      <c r="T43" s="11">
        <f>Q43*4</f>
        <v>34.799999999999997</v>
      </c>
      <c r="U43" s="11">
        <f>R43*4</f>
        <v>37.200000000000003</v>
      </c>
      <c r="V43" s="12">
        <f>(4/3)*3.14*(U43/2)^3</f>
        <v>26940.597120000006</v>
      </c>
      <c r="W43" s="12">
        <f>V43/1000</f>
        <v>26.940597120000007</v>
      </c>
    </row>
    <row r="44" spans="1:23" x14ac:dyDescent="0.25">
      <c r="A44" s="7">
        <v>43</v>
      </c>
      <c r="B44" s="8" t="s">
        <v>48</v>
      </c>
      <c r="C44" s="8" t="s">
        <v>94</v>
      </c>
      <c r="D44" s="7" t="s">
        <v>62</v>
      </c>
      <c r="E44" s="8" t="s">
        <v>51</v>
      </c>
      <c r="F44" s="7">
        <v>600</v>
      </c>
      <c r="G44" s="7">
        <v>1400</v>
      </c>
      <c r="H44" s="7">
        <f>(F44+G44)/2</f>
        <v>1000</v>
      </c>
      <c r="I44" s="9">
        <v>5</v>
      </c>
      <c r="J44" s="10" t="s">
        <v>32</v>
      </c>
      <c r="K44" s="8" t="s">
        <v>42</v>
      </c>
      <c r="L44" s="8" t="s">
        <v>43</v>
      </c>
      <c r="M44" s="8" t="s">
        <v>39</v>
      </c>
      <c r="N44" s="8"/>
      <c r="O44" s="8" t="s">
        <v>40</v>
      </c>
      <c r="P44" s="11">
        <v>6.4</v>
      </c>
      <c r="Q44" s="11">
        <v>9.8000000000000007</v>
      </c>
      <c r="R44" s="11">
        <v>10.1</v>
      </c>
      <c r="S44" s="11">
        <f>P44*4</f>
        <v>25.6</v>
      </c>
      <c r="T44" s="11">
        <f>Q44*4</f>
        <v>39.200000000000003</v>
      </c>
      <c r="U44" s="11">
        <f>R44*4</f>
        <v>40.4</v>
      </c>
      <c r="V44" s="12">
        <f>(4/3)*3.14*(U44/2)^3</f>
        <v>34508.214826666663</v>
      </c>
      <c r="W44" s="12">
        <f>V44/1000</f>
        <v>34.508214826666659</v>
      </c>
    </row>
    <row r="45" spans="1:23" x14ac:dyDescent="0.25">
      <c r="A45" s="7">
        <v>44</v>
      </c>
      <c r="B45" s="8" t="s">
        <v>48</v>
      </c>
      <c r="C45" s="8" t="s">
        <v>95</v>
      </c>
      <c r="D45" s="7" t="s">
        <v>62</v>
      </c>
      <c r="E45" s="8" t="s">
        <v>51</v>
      </c>
      <c r="F45" s="7">
        <v>600</v>
      </c>
      <c r="G45" s="7">
        <v>1400</v>
      </c>
      <c r="H45" s="7">
        <f>(F45+G45)/2</f>
        <v>1000</v>
      </c>
      <c r="I45" s="9">
        <v>5</v>
      </c>
      <c r="J45" s="10" t="s">
        <v>32</v>
      </c>
      <c r="K45" s="8" t="s">
        <v>96</v>
      </c>
      <c r="L45" s="8" t="s">
        <v>96</v>
      </c>
      <c r="M45" s="8" t="s">
        <v>39</v>
      </c>
      <c r="N45" s="8"/>
      <c r="O45" s="8" t="s">
        <v>40</v>
      </c>
      <c r="P45" s="11">
        <v>6.8</v>
      </c>
      <c r="Q45" s="11">
        <v>9.1</v>
      </c>
      <c r="R45" s="11">
        <v>9.6</v>
      </c>
      <c r="S45" s="11">
        <f>P45*4</f>
        <v>27.2</v>
      </c>
      <c r="T45" s="11">
        <f>Q45*4</f>
        <v>36.4</v>
      </c>
      <c r="U45" s="11">
        <f>R45*4</f>
        <v>38.4</v>
      </c>
      <c r="V45" s="12">
        <f>(4/3)*3.14*(U45/2)^3</f>
        <v>29632.75776</v>
      </c>
      <c r="W45" s="12">
        <f>V45/1000</f>
        <v>29.632757760000001</v>
      </c>
    </row>
    <row r="46" spans="1:23" x14ac:dyDescent="0.25">
      <c r="A46" s="7">
        <v>45</v>
      </c>
      <c r="B46" s="8" t="s">
        <v>48</v>
      </c>
      <c r="C46" s="8" t="s">
        <v>97</v>
      </c>
      <c r="D46" s="7" t="s">
        <v>62</v>
      </c>
      <c r="E46" s="8" t="s">
        <v>51</v>
      </c>
      <c r="F46" s="7">
        <v>600</v>
      </c>
      <c r="G46" s="7">
        <v>1400</v>
      </c>
      <c r="H46" s="7">
        <f>(F46+G46)/2</f>
        <v>1000</v>
      </c>
      <c r="I46" s="9">
        <v>5</v>
      </c>
      <c r="J46" s="10" t="s">
        <v>32</v>
      </c>
      <c r="K46" s="8" t="s">
        <v>42</v>
      </c>
      <c r="L46" s="8" t="s">
        <v>43</v>
      </c>
      <c r="M46" s="8" t="s">
        <v>39</v>
      </c>
      <c r="N46" s="8"/>
      <c r="O46" s="8" t="s">
        <v>40</v>
      </c>
      <c r="P46" s="11">
        <v>8.4</v>
      </c>
      <c r="Q46" s="11">
        <v>9.9</v>
      </c>
      <c r="R46" s="11">
        <v>11.1</v>
      </c>
      <c r="S46" s="11">
        <f>P46*4</f>
        <v>33.6</v>
      </c>
      <c r="T46" s="11">
        <f>Q46*4</f>
        <v>39.6</v>
      </c>
      <c r="U46" s="11">
        <f>R46*4</f>
        <v>44.4</v>
      </c>
      <c r="V46" s="12">
        <f>(4/3)*3.14*(U46/2)^3</f>
        <v>45806.520959999994</v>
      </c>
      <c r="W46" s="12">
        <f>V46/1000</f>
        <v>45.806520959999993</v>
      </c>
    </row>
    <row r="47" spans="1:23" x14ac:dyDescent="0.25">
      <c r="A47" s="7">
        <v>46</v>
      </c>
      <c r="B47" s="8" t="s">
        <v>48</v>
      </c>
      <c r="C47" s="8" t="s">
        <v>98</v>
      </c>
      <c r="D47" s="7" t="s">
        <v>62</v>
      </c>
      <c r="E47" s="8" t="s">
        <v>51</v>
      </c>
      <c r="F47" s="7">
        <v>600</v>
      </c>
      <c r="G47" s="7">
        <v>1400</v>
      </c>
      <c r="H47" s="7">
        <f>(F47+G47)/2</f>
        <v>1000</v>
      </c>
      <c r="I47" s="9">
        <v>5</v>
      </c>
      <c r="J47" s="10" t="s">
        <v>34</v>
      </c>
      <c r="K47" s="8" t="s">
        <v>27</v>
      </c>
      <c r="L47" s="8" t="s">
        <v>28</v>
      </c>
      <c r="M47" s="8"/>
      <c r="N47" s="8" t="s">
        <v>99</v>
      </c>
      <c r="O47" s="8" t="s">
        <v>29</v>
      </c>
      <c r="P47" s="11">
        <v>3.4</v>
      </c>
      <c r="Q47" s="11">
        <v>7.6</v>
      </c>
      <c r="R47" s="11">
        <v>8.1999999999999993</v>
      </c>
      <c r="S47" s="11">
        <f>P47*4</f>
        <v>13.6</v>
      </c>
      <c r="T47" s="11">
        <f>Q47*4</f>
        <v>30.4</v>
      </c>
      <c r="U47" s="11">
        <f>R47*4</f>
        <v>32.799999999999997</v>
      </c>
      <c r="V47" s="12">
        <f>(4/3)*3.14*(U47/2)^3</f>
        <v>18467.152213333331</v>
      </c>
      <c r="W47" s="12">
        <f>V47/1000</f>
        <v>18.467152213333332</v>
      </c>
    </row>
    <row r="48" spans="1:23" x14ac:dyDescent="0.25">
      <c r="A48" s="7">
        <v>47</v>
      </c>
      <c r="B48" s="8" t="s">
        <v>48</v>
      </c>
      <c r="C48" s="8" t="s">
        <v>100</v>
      </c>
      <c r="D48" s="7" t="s">
        <v>62</v>
      </c>
      <c r="E48" s="8" t="s">
        <v>51</v>
      </c>
      <c r="F48" s="7">
        <v>600</v>
      </c>
      <c r="G48" s="7">
        <v>1400</v>
      </c>
      <c r="H48" s="7">
        <f>(F48+G48)/2</f>
        <v>1000</v>
      </c>
      <c r="I48" s="9">
        <v>4</v>
      </c>
      <c r="J48" s="10" t="s">
        <v>32</v>
      </c>
      <c r="K48" s="8" t="s">
        <v>101</v>
      </c>
      <c r="L48" s="8" t="s">
        <v>101</v>
      </c>
      <c r="M48" s="8"/>
      <c r="N48" s="8"/>
      <c r="O48" s="8" t="s">
        <v>44</v>
      </c>
      <c r="P48" s="11">
        <v>9.6</v>
      </c>
      <c r="Q48" s="11">
        <v>8</v>
      </c>
      <c r="R48" s="11">
        <v>10.6</v>
      </c>
      <c r="S48" s="11">
        <f>P48*4</f>
        <v>38.4</v>
      </c>
      <c r="T48" s="11">
        <f>Q48*4</f>
        <v>32</v>
      </c>
      <c r="U48" s="11">
        <f>R48*4</f>
        <v>42.4</v>
      </c>
      <c r="V48" s="12">
        <f>(2/3)*3.14*(U48/2)^3</f>
        <v>19945.547946666662</v>
      </c>
      <c r="W48" s="12">
        <f>V48/1000</f>
        <v>19.945547946666661</v>
      </c>
    </row>
    <row r="49" spans="1:23" x14ac:dyDescent="0.25">
      <c r="A49" s="7">
        <v>48</v>
      </c>
      <c r="B49" s="8" t="s">
        <v>48</v>
      </c>
      <c r="C49" s="8" t="s">
        <v>102</v>
      </c>
      <c r="D49" s="7" t="s">
        <v>62</v>
      </c>
      <c r="E49" s="8" t="s">
        <v>51</v>
      </c>
      <c r="F49" s="7">
        <v>600</v>
      </c>
      <c r="G49" s="7">
        <v>1400</v>
      </c>
      <c r="H49" s="7">
        <f>(F49+G49)/2</f>
        <v>1000</v>
      </c>
      <c r="I49" s="9">
        <v>4</v>
      </c>
      <c r="J49" s="10" t="s">
        <v>34</v>
      </c>
      <c r="K49" s="8" t="s">
        <v>77</v>
      </c>
      <c r="L49" s="8" t="s">
        <v>77</v>
      </c>
      <c r="M49" s="8" t="s">
        <v>39</v>
      </c>
      <c r="N49" s="8"/>
      <c r="O49" s="8" t="s">
        <v>40</v>
      </c>
      <c r="P49" s="11">
        <v>7.8</v>
      </c>
      <c r="Q49" s="11">
        <v>6.4</v>
      </c>
      <c r="R49" s="11">
        <v>7.8</v>
      </c>
      <c r="S49" s="11">
        <f>P49*4</f>
        <v>31.2</v>
      </c>
      <c r="T49" s="11">
        <f>Q49*4</f>
        <v>25.6</v>
      </c>
      <c r="U49" s="11">
        <f>R49*4</f>
        <v>31.2</v>
      </c>
      <c r="V49" s="12">
        <f>(2/3)*3.14*(U49/2)^3</f>
        <v>7947.1641599999994</v>
      </c>
      <c r="W49" s="12">
        <f>V49/1000</f>
        <v>7.9471641599999989</v>
      </c>
    </row>
    <row r="50" spans="1:23" x14ac:dyDescent="0.25">
      <c r="A50" s="7">
        <v>49</v>
      </c>
      <c r="B50" s="8" t="s">
        <v>48</v>
      </c>
      <c r="C50" s="8" t="s">
        <v>103</v>
      </c>
      <c r="D50" s="7" t="s">
        <v>62</v>
      </c>
      <c r="E50" s="8" t="s">
        <v>51</v>
      </c>
      <c r="F50" s="7">
        <v>600</v>
      </c>
      <c r="G50" s="7">
        <v>1400</v>
      </c>
      <c r="H50" s="7">
        <f>(F50+G50)/2</f>
        <v>1000</v>
      </c>
      <c r="I50" s="9">
        <v>14</v>
      </c>
      <c r="J50" s="10" t="s">
        <v>65</v>
      </c>
      <c r="K50" s="8" t="s">
        <v>27</v>
      </c>
      <c r="L50" s="8" t="s">
        <v>28</v>
      </c>
      <c r="M50" s="8" t="s">
        <v>39</v>
      </c>
      <c r="N50" s="8"/>
      <c r="O50" s="8" t="s">
        <v>71</v>
      </c>
      <c r="P50" s="11">
        <v>1.4</v>
      </c>
      <c r="Q50" s="11">
        <v>3.2</v>
      </c>
      <c r="R50" s="11">
        <v>2.6</v>
      </c>
      <c r="S50" s="11">
        <f>P50*4</f>
        <v>5.6</v>
      </c>
      <c r="T50" s="11">
        <f>Q50*4</f>
        <v>12.8</v>
      </c>
      <c r="U50" s="11">
        <f>R50*4</f>
        <v>10.4</v>
      </c>
      <c r="V50" s="12"/>
      <c r="W50" s="12">
        <f>V50/1000</f>
        <v>0</v>
      </c>
    </row>
    <row r="51" spans="1:23" x14ac:dyDescent="0.25">
      <c r="A51" s="7">
        <v>50</v>
      </c>
      <c r="B51" s="8" t="s">
        <v>48</v>
      </c>
      <c r="C51" s="8" t="s">
        <v>104</v>
      </c>
      <c r="D51" s="7" t="s">
        <v>62</v>
      </c>
      <c r="E51" s="8" t="s">
        <v>51</v>
      </c>
      <c r="F51" s="7">
        <v>600</v>
      </c>
      <c r="G51" s="7">
        <v>1400</v>
      </c>
      <c r="H51" s="7">
        <f>(F51+G51)/2</f>
        <v>1000</v>
      </c>
      <c r="I51" s="9">
        <v>6</v>
      </c>
      <c r="J51" s="10" t="s">
        <v>26</v>
      </c>
      <c r="K51" s="8" t="s">
        <v>77</v>
      </c>
      <c r="L51" s="8" t="s">
        <v>77</v>
      </c>
      <c r="M51" s="8"/>
      <c r="N51" s="8"/>
      <c r="O51" s="8" t="s">
        <v>29</v>
      </c>
      <c r="P51" s="11">
        <v>2.9</v>
      </c>
      <c r="Q51" s="11">
        <v>5.2</v>
      </c>
      <c r="R51" s="11">
        <v>5.4</v>
      </c>
      <c r="S51" s="11">
        <f>P51*4</f>
        <v>11.6</v>
      </c>
      <c r="T51" s="11">
        <f>Q51*4</f>
        <v>20.8</v>
      </c>
      <c r="U51" s="11">
        <f>R51*4</f>
        <v>21.6</v>
      </c>
      <c r="V51" s="12">
        <f>(4/3)*3.14*(U51/2)^3</f>
        <v>5273.9942400000009</v>
      </c>
      <c r="W51" s="12">
        <f>V51/1000</f>
        <v>5.2739942400000013</v>
      </c>
    </row>
    <row r="52" spans="1:23" x14ac:dyDescent="0.25">
      <c r="A52" s="7">
        <v>51</v>
      </c>
      <c r="B52" s="8" t="s">
        <v>48</v>
      </c>
      <c r="C52" s="8" t="s">
        <v>105</v>
      </c>
      <c r="D52" s="7" t="s">
        <v>62</v>
      </c>
      <c r="E52" s="8" t="s">
        <v>51</v>
      </c>
      <c r="F52" s="7">
        <v>600</v>
      </c>
      <c r="G52" s="7">
        <v>1400</v>
      </c>
      <c r="H52" s="7">
        <f>(F52+G52)/2</f>
        <v>1000</v>
      </c>
      <c r="I52" s="9">
        <v>6</v>
      </c>
      <c r="J52" s="10" t="s">
        <v>26</v>
      </c>
      <c r="K52" s="8" t="s">
        <v>77</v>
      </c>
      <c r="L52" s="8" t="s">
        <v>77</v>
      </c>
      <c r="M52" s="8"/>
      <c r="N52" s="8"/>
      <c r="O52" s="8" t="s">
        <v>29</v>
      </c>
      <c r="P52" s="11">
        <v>2.8</v>
      </c>
      <c r="Q52" s="11">
        <v>6.6</v>
      </c>
      <c r="R52" s="11">
        <v>5.9</v>
      </c>
      <c r="S52" s="11">
        <f>P52*4</f>
        <v>11.2</v>
      </c>
      <c r="T52" s="11">
        <f>Q52*4</f>
        <v>26.4</v>
      </c>
      <c r="U52" s="11">
        <f>R52*4</f>
        <v>23.6</v>
      </c>
      <c r="V52" s="12">
        <f>(4/3)*3.14*(U52/2)^3</f>
        <v>6878.827306666667</v>
      </c>
      <c r="W52" s="12">
        <f>V52/1000</f>
        <v>6.8788273066666674</v>
      </c>
    </row>
    <row r="53" spans="1:23" x14ac:dyDescent="0.25">
      <c r="A53" s="7">
        <v>52</v>
      </c>
      <c r="B53" s="8" t="s">
        <v>48</v>
      </c>
      <c r="C53" s="8" t="s">
        <v>106</v>
      </c>
      <c r="D53" s="7" t="s">
        <v>107</v>
      </c>
      <c r="E53" s="8" t="s">
        <v>51</v>
      </c>
      <c r="F53" s="7">
        <v>1600</v>
      </c>
      <c r="G53" s="7">
        <v>1700</v>
      </c>
      <c r="H53" s="7">
        <f>(F53+G53)/2</f>
        <v>1650</v>
      </c>
      <c r="I53" s="9">
        <v>3</v>
      </c>
      <c r="J53" s="10" t="s">
        <v>81</v>
      </c>
      <c r="K53" s="8" t="s">
        <v>108</v>
      </c>
      <c r="L53" s="8" t="s">
        <v>109</v>
      </c>
      <c r="M53" s="8" t="s">
        <v>39</v>
      </c>
      <c r="N53" s="8"/>
      <c r="O53" s="8" t="s">
        <v>40</v>
      </c>
      <c r="P53" s="11">
        <v>12.9</v>
      </c>
      <c r="Q53" s="11">
        <v>10.7</v>
      </c>
      <c r="R53" s="11">
        <v>15.8</v>
      </c>
      <c r="S53" s="11">
        <f>P53*4</f>
        <v>51.6</v>
      </c>
      <c r="T53" s="11">
        <f>Q53*4</f>
        <v>42.8</v>
      </c>
      <c r="U53" s="11">
        <f>R53*4</f>
        <v>63.2</v>
      </c>
      <c r="V53" s="12">
        <f>4/3*3.14*U53^2*T53</f>
        <v>715725.20277333329</v>
      </c>
      <c r="W53" s="12">
        <f>V53/1000</f>
        <v>715.72520277333331</v>
      </c>
    </row>
    <row r="54" spans="1:23" x14ac:dyDescent="0.25">
      <c r="A54" s="7">
        <v>53</v>
      </c>
      <c r="B54" s="8" t="s">
        <v>48</v>
      </c>
      <c r="C54" s="8" t="s">
        <v>110</v>
      </c>
      <c r="D54" s="7" t="s">
        <v>107</v>
      </c>
      <c r="E54" s="8" t="s">
        <v>51</v>
      </c>
      <c r="F54" s="7">
        <v>1600</v>
      </c>
      <c r="G54" s="7">
        <v>1700</v>
      </c>
      <c r="H54" s="7">
        <f>(F54+G54)/2</f>
        <v>1650</v>
      </c>
      <c r="I54" s="9">
        <v>5</v>
      </c>
      <c r="J54" s="10" t="s">
        <v>32</v>
      </c>
      <c r="K54" s="8" t="s">
        <v>77</v>
      </c>
      <c r="L54" s="8" t="s">
        <v>77</v>
      </c>
      <c r="M54" s="8" t="s">
        <v>39</v>
      </c>
      <c r="N54" s="8"/>
      <c r="O54" s="8" t="s">
        <v>40</v>
      </c>
      <c r="P54" s="11">
        <v>8.8000000000000007</v>
      </c>
      <c r="Q54" s="11">
        <v>8.6999999999999993</v>
      </c>
      <c r="R54" s="11">
        <v>10.9</v>
      </c>
      <c r="S54" s="11">
        <f>P54*4</f>
        <v>35.200000000000003</v>
      </c>
      <c r="T54" s="11">
        <f>Q54*4</f>
        <v>34.799999999999997</v>
      </c>
      <c r="U54" s="11">
        <f>R54*4</f>
        <v>43.6</v>
      </c>
      <c r="V54" s="12">
        <f>(4/3)*3.14*(U54/2)^3</f>
        <v>43374.837973333335</v>
      </c>
      <c r="W54" s="12">
        <f>V54/1000</f>
        <v>43.374837973333335</v>
      </c>
    </row>
    <row r="55" spans="1:23" x14ac:dyDescent="0.25">
      <c r="A55" s="7">
        <v>54</v>
      </c>
      <c r="B55" s="8" t="s">
        <v>48</v>
      </c>
      <c r="C55" s="8" t="s">
        <v>111</v>
      </c>
      <c r="D55" s="7" t="s">
        <v>107</v>
      </c>
      <c r="E55" s="8" t="s">
        <v>51</v>
      </c>
      <c r="F55" s="7">
        <v>1600</v>
      </c>
      <c r="G55" s="7">
        <v>1700</v>
      </c>
      <c r="H55" s="7">
        <f>(F55+G55)/2</f>
        <v>1650</v>
      </c>
      <c r="I55" s="9">
        <v>5</v>
      </c>
      <c r="J55" s="10" t="s">
        <v>34</v>
      </c>
      <c r="K55" s="8" t="s">
        <v>42</v>
      </c>
      <c r="L55" s="8" t="s">
        <v>43</v>
      </c>
      <c r="M55" s="8" t="s">
        <v>39</v>
      </c>
      <c r="N55" s="8"/>
      <c r="O55" s="8" t="s">
        <v>40</v>
      </c>
      <c r="P55" s="11">
        <v>4.5999999999999996</v>
      </c>
      <c r="Q55" s="11">
        <v>6.4</v>
      </c>
      <c r="R55" s="11">
        <v>7.4</v>
      </c>
      <c r="S55" s="11">
        <f>P55*4</f>
        <v>18.399999999999999</v>
      </c>
      <c r="T55" s="11">
        <f>Q55*4</f>
        <v>25.6</v>
      </c>
      <c r="U55" s="11">
        <f>R55*4</f>
        <v>29.6</v>
      </c>
      <c r="V55" s="12">
        <f>(4/3)*3.14*(U55/2)^3</f>
        <v>13572.302506666669</v>
      </c>
      <c r="W55" s="12">
        <f>V55/1000</f>
        <v>13.572302506666668</v>
      </c>
    </row>
    <row r="56" spans="1:23" x14ac:dyDescent="0.25">
      <c r="A56" s="7">
        <v>55</v>
      </c>
      <c r="B56" s="8" t="s">
        <v>48</v>
      </c>
      <c r="C56" s="8" t="s">
        <v>112</v>
      </c>
      <c r="D56" s="7" t="s">
        <v>107</v>
      </c>
      <c r="E56" s="8" t="s">
        <v>51</v>
      </c>
      <c r="F56" s="7">
        <v>1600</v>
      </c>
      <c r="G56" s="7">
        <v>1700</v>
      </c>
      <c r="H56" s="7">
        <f>(F56+G56)/2</f>
        <v>1650</v>
      </c>
      <c r="I56" s="9">
        <v>5</v>
      </c>
      <c r="J56" s="10" t="s">
        <v>34</v>
      </c>
      <c r="K56" s="8" t="s">
        <v>42</v>
      </c>
      <c r="L56" s="8" t="s">
        <v>43</v>
      </c>
      <c r="M56" s="8" t="s">
        <v>39</v>
      </c>
      <c r="N56" s="8"/>
      <c r="O56" s="8" t="s">
        <v>40</v>
      </c>
      <c r="P56" s="11">
        <v>5.5</v>
      </c>
      <c r="Q56" s="11">
        <v>7</v>
      </c>
      <c r="R56" s="11">
        <v>8</v>
      </c>
      <c r="S56" s="11">
        <f>P56*4</f>
        <v>22</v>
      </c>
      <c r="T56" s="11">
        <f>Q56*4</f>
        <v>28</v>
      </c>
      <c r="U56" s="11">
        <f>R56*4</f>
        <v>32</v>
      </c>
      <c r="V56" s="12">
        <f>(4/3)*3.14*(U56/2)^3</f>
        <v>17148.586666666666</v>
      </c>
      <c r="W56" s="12">
        <f>V56/1000</f>
        <v>17.148586666666667</v>
      </c>
    </row>
    <row r="57" spans="1:23" x14ac:dyDescent="0.25">
      <c r="A57" s="7">
        <v>56</v>
      </c>
      <c r="B57" s="8" t="s">
        <v>48</v>
      </c>
      <c r="C57" s="8" t="s">
        <v>113</v>
      </c>
      <c r="D57" s="7" t="s">
        <v>107</v>
      </c>
      <c r="E57" s="8" t="s">
        <v>51</v>
      </c>
      <c r="F57" s="7">
        <v>1600</v>
      </c>
      <c r="G57" s="7">
        <v>1700</v>
      </c>
      <c r="H57" s="7">
        <f>(F57+G57)/2</f>
        <v>1650</v>
      </c>
      <c r="I57" s="9">
        <v>5</v>
      </c>
      <c r="J57" s="10" t="s">
        <v>81</v>
      </c>
      <c r="K57" s="8" t="s">
        <v>42</v>
      </c>
      <c r="L57" s="8" t="s">
        <v>43</v>
      </c>
      <c r="M57" s="8"/>
      <c r="N57" s="8"/>
      <c r="O57" s="8" t="s">
        <v>44</v>
      </c>
      <c r="P57" s="11">
        <v>15.4</v>
      </c>
      <c r="Q57" s="11">
        <v>15.5</v>
      </c>
      <c r="R57" s="11">
        <v>17.8</v>
      </c>
      <c r="S57" s="11">
        <f>P57*4</f>
        <v>61.6</v>
      </c>
      <c r="T57" s="11">
        <f>Q57*4</f>
        <v>62</v>
      </c>
      <c r="U57" s="11">
        <f>R57*4</f>
        <v>71.2</v>
      </c>
      <c r="V57" s="12">
        <f>(4/3)*3.14*(U57/2)^3</f>
        <v>188894.09365333334</v>
      </c>
      <c r="W57" s="12">
        <f>V57/1000</f>
        <v>188.89409365333336</v>
      </c>
    </row>
    <row r="58" spans="1:23" x14ac:dyDescent="0.25">
      <c r="A58" s="7">
        <v>57</v>
      </c>
      <c r="B58" s="8" t="s">
        <v>114</v>
      </c>
      <c r="C58" s="8" t="s">
        <v>115</v>
      </c>
      <c r="D58" s="7" t="s">
        <v>116</v>
      </c>
      <c r="E58" s="8" t="s">
        <v>51</v>
      </c>
      <c r="F58" s="7">
        <v>500</v>
      </c>
      <c r="G58" s="7">
        <v>1000</v>
      </c>
      <c r="H58" s="7">
        <f>(F58+G58)/2</f>
        <v>750</v>
      </c>
      <c r="I58" s="9">
        <v>7</v>
      </c>
      <c r="J58" s="10" t="s">
        <v>34</v>
      </c>
      <c r="K58" s="8" t="s">
        <v>27</v>
      </c>
      <c r="L58" s="8" t="s">
        <v>28</v>
      </c>
      <c r="M58" s="8" t="s">
        <v>39</v>
      </c>
      <c r="N58" s="8"/>
      <c r="O58" s="8" t="s">
        <v>71</v>
      </c>
      <c r="P58" s="11">
        <v>5.0999999999999996</v>
      </c>
      <c r="Q58" s="11">
        <v>2.7</v>
      </c>
      <c r="R58" s="11">
        <v>7</v>
      </c>
      <c r="S58" s="11">
        <f>P58*4</f>
        <v>20.399999999999999</v>
      </c>
      <c r="T58" s="11">
        <f>Q58*4</f>
        <v>10.8</v>
      </c>
      <c r="U58" s="11">
        <f>R58*4</f>
        <v>28</v>
      </c>
      <c r="V58" s="12">
        <f>4/3*3.14*U58^2*T58</f>
        <v>35449.343999999997</v>
      </c>
      <c r="W58" s="12">
        <f>V58/1000</f>
        <v>35.449343999999996</v>
      </c>
    </row>
    <row r="59" spans="1:23" x14ac:dyDescent="0.25">
      <c r="A59" s="7">
        <v>58</v>
      </c>
      <c r="B59" s="8" t="s">
        <v>114</v>
      </c>
      <c r="C59" s="8" t="s">
        <v>117</v>
      </c>
      <c r="D59" s="7" t="s">
        <v>116</v>
      </c>
      <c r="E59" s="8" t="s">
        <v>51</v>
      </c>
      <c r="F59" s="7">
        <v>500</v>
      </c>
      <c r="G59" s="7">
        <v>1000</v>
      </c>
      <c r="H59" s="7">
        <f>(F59+G59)/2</f>
        <v>750</v>
      </c>
      <c r="I59" s="9">
        <v>8</v>
      </c>
      <c r="J59" s="10" t="s">
        <v>34</v>
      </c>
      <c r="K59" s="8" t="s">
        <v>27</v>
      </c>
      <c r="L59" s="8" t="s">
        <v>28</v>
      </c>
      <c r="M59" s="8" t="s">
        <v>39</v>
      </c>
      <c r="N59" s="8"/>
      <c r="O59" s="8" t="s">
        <v>71</v>
      </c>
      <c r="P59" s="11">
        <v>5.2</v>
      </c>
      <c r="Q59" s="11">
        <v>2.2999999999999998</v>
      </c>
      <c r="R59" s="11">
        <v>7.5</v>
      </c>
      <c r="S59" s="11">
        <f>P59*4</f>
        <v>20.8</v>
      </c>
      <c r="T59" s="11">
        <f>Q59*4</f>
        <v>9.1999999999999993</v>
      </c>
      <c r="U59" s="11">
        <f>R59*4</f>
        <v>30</v>
      </c>
      <c r="V59" s="12">
        <f>4/3*3.14*U59^2*T59</f>
        <v>34665.599999999999</v>
      </c>
      <c r="W59" s="12">
        <f>V59/1000</f>
        <v>34.665599999999998</v>
      </c>
    </row>
    <row r="60" spans="1:23" x14ac:dyDescent="0.25">
      <c r="A60" s="7">
        <v>59</v>
      </c>
      <c r="B60" s="8" t="s">
        <v>114</v>
      </c>
      <c r="C60" s="8" t="s">
        <v>118</v>
      </c>
      <c r="D60" s="7" t="s">
        <v>119</v>
      </c>
      <c r="E60" s="8" t="s">
        <v>51</v>
      </c>
      <c r="F60" s="7">
        <v>1000</v>
      </c>
      <c r="G60" s="7">
        <v>1600</v>
      </c>
      <c r="H60" s="7">
        <f>(F60+G60)/2</f>
        <v>1300</v>
      </c>
      <c r="I60" s="9">
        <v>3</v>
      </c>
      <c r="J60" s="10" t="s">
        <v>34</v>
      </c>
      <c r="K60" s="8" t="s">
        <v>42</v>
      </c>
      <c r="L60" s="8" t="s">
        <v>43</v>
      </c>
      <c r="M60" s="8" t="s">
        <v>39</v>
      </c>
      <c r="N60" s="8"/>
      <c r="O60" s="8" t="s">
        <v>71</v>
      </c>
      <c r="P60" s="11">
        <v>5.5</v>
      </c>
      <c r="Q60" s="11">
        <v>4.2</v>
      </c>
      <c r="R60" s="11">
        <v>6.5</v>
      </c>
      <c r="S60" s="11">
        <f>P60*4</f>
        <v>22</v>
      </c>
      <c r="T60" s="11">
        <f>Q60*4</f>
        <v>16.8</v>
      </c>
      <c r="U60" s="11">
        <f>R60*4</f>
        <v>26</v>
      </c>
      <c r="V60" s="12">
        <f>4/3*3.14*U60^2*T60</f>
        <v>47547.135999999999</v>
      </c>
      <c r="W60" s="12">
        <f>V60/1000</f>
        <v>47.547136000000002</v>
      </c>
    </row>
    <row r="61" spans="1:23" x14ac:dyDescent="0.25">
      <c r="A61" s="7">
        <v>60</v>
      </c>
      <c r="B61" s="8" t="s">
        <v>114</v>
      </c>
      <c r="C61" s="8" t="s">
        <v>120</v>
      </c>
      <c r="D61" s="7" t="s">
        <v>119</v>
      </c>
      <c r="E61" s="8" t="s">
        <v>51</v>
      </c>
      <c r="F61" s="7">
        <v>1000</v>
      </c>
      <c r="G61" s="7">
        <v>1600</v>
      </c>
      <c r="H61" s="7">
        <f>(F61+G61)/2</f>
        <v>1300</v>
      </c>
      <c r="I61" s="9">
        <v>3</v>
      </c>
      <c r="J61" s="10" t="s">
        <v>34</v>
      </c>
      <c r="K61" s="8" t="s">
        <v>42</v>
      </c>
      <c r="L61" s="8" t="s">
        <v>43</v>
      </c>
      <c r="M61" s="8" t="s">
        <v>39</v>
      </c>
      <c r="N61" s="8"/>
      <c r="O61" s="8" t="s">
        <v>40</v>
      </c>
      <c r="P61" s="11">
        <v>5.9</v>
      </c>
      <c r="Q61" s="11">
        <v>4.8</v>
      </c>
      <c r="R61" s="11">
        <v>7.5</v>
      </c>
      <c r="S61" s="11">
        <f>P61*4</f>
        <v>23.6</v>
      </c>
      <c r="T61" s="11">
        <f>Q61*4</f>
        <v>19.2</v>
      </c>
      <c r="U61" s="11">
        <f>R61*4</f>
        <v>30</v>
      </c>
      <c r="V61" s="12">
        <f>4/3*3.14*U61^2*T61</f>
        <v>72345.599999999991</v>
      </c>
      <c r="W61" s="12">
        <f>V61/1000</f>
        <v>72.34559999999999</v>
      </c>
    </row>
    <row r="62" spans="1:23" x14ac:dyDescent="0.25">
      <c r="A62" s="7">
        <v>61</v>
      </c>
      <c r="B62" s="8" t="s">
        <v>114</v>
      </c>
      <c r="C62" s="8" t="s">
        <v>121</v>
      </c>
      <c r="D62" s="7" t="s">
        <v>119</v>
      </c>
      <c r="E62" s="8" t="s">
        <v>51</v>
      </c>
      <c r="F62" s="7">
        <v>1000</v>
      </c>
      <c r="G62" s="7">
        <v>1600</v>
      </c>
      <c r="H62" s="7">
        <f>(F62+G62)/2</f>
        <v>1300</v>
      </c>
      <c r="I62" s="9">
        <v>2</v>
      </c>
      <c r="J62" s="10" t="s">
        <v>34</v>
      </c>
      <c r="K62" s="8" t="s">
        <v>27</v>
      </c>
      <c r="L62" s="8" t="s">
        <v>28</v>
      </c>
      <c r="M62" s="8" t="s">
        <v>39</v>
      </c>
      <c r="N62" s="8"/>
      <c r="O62" s="8" t="s">
        <v>40</v>
      </c>
      <c r="P62" s="11">
        <v>6.6</v>
      </c>
      <c r="Q62" s="11">
        <v>2.5</v>
      </c>
      <c r="R62" s="11">
        <v>6.6</v>
      </c>
      <c r="S62" s="11">
        <f>P62*4</f>
        <v>26.4</v>
      </c>
      <c r="T62" s="11">
        <f>Q62*4</f>
        <v>10</v>
      </c>
      <c r="U62" s="11">
        <f>R62*4</f>
        <v>26.4</v>
      </c>
      <c r="V62" s="12">
        <f>(1/3)*3.14*T62^2*(3*(U62/2)-T62)</f>
        <v>3098.1333333333323</v>
      </c>
      <c r="W62" s="12">
        <f>V62/1000</f>
        <v>3.0981333333333323</v>
      </c>
    </row>
    <row r="63" spans="1:23" x14ac:dyDescent="0.25">
      <c r="A63" s="7">
        <v>62</v>
      </c>
      <c r="B63" s="8" t="s">
        <v>114</v>
      </c>
      <c r="C63" s="8" t="s">
        <v>122</v>
      </c>
      <c r="D63" s="7" t="s">
        <v>119</v>
      </c>
      <c r="E63" s="8" t="s">
        <v>51</v>
      </c>
      <c r="F63" s="7">
        <v>1000</v>
      </c>
      <c r="G63" s="7">
        <v>1600</v>
      </c>
      <c r="H63" s="7">
        <f>(F63+G63)/2</f>
        <v>1300</v>
      </c>
      <c r="I63" s="9">
        <v>2</v>
      </c>
      <c r="J63" s="10" t="s">
        <v>34</v>
      </c>
      <c r="K63" s="8" t="s">
        <v>27</v>
      </c>
      <c r="L63" s="8" t="s">
        <v>28</v>
      </c>
      <c r="M63" s="8" t="s">
        <v>39</v>
      </c>
      <c r="N63" s="8"/>
      <c r="O63" s="8" t="s">
        <v>40</v>
      </c>
      <c r="P63" s="11">
        <v>7.1</v>
      </c>
      <c r="Q63" s="11">
        <v>3.5</v>
      </c>
      <c r="R63" s="11">
        <v>7.1</v>
      </c>
      <c r="S63" s="11">
        <f>P63*4</f>
        <v>28.4</v>
      </c>
      <c r="T63" s="11">
        <f>Q63*4</f>
        <v>14</v>
      </c>
      <c r="U63" s="11">
        <f>R63*4</f>
        <v>28.4</v>
      </c>
      <c r="V63" s="12">
        <f>(1/3)*3.14*T63^2*(3*(U63/2)-T63)</f>
        <v>5867.1946666666645</v>
      </c>
      <c r="W63" s="12">
        <f>V63/1000</f>
        <v>5.8671946666666646</v>
      </c>
    </row>
    <row r="64" spans="1:23" x14ac:dyDescent="0.25">
      <c r="A64" s="7">
        <v>63</v>
      </c>
      <c r="B64" s="8" t="s">
        <v>114</v>
      </c>
      <c r="C64" s="8" t="s">
        <v>123</v>
      </c>
      <c r="D64" s="7" t="s">
        <v>119</v>
      </c>
      <c r="E64" s="8" t="s">
        <v>51</v>
      </c>
      <c r="F64" s="7">
        <v>1000</v>
      </c>
      <c r="G64" s="7">
        <v>1600</v>
      </c>
      <c r="H64" s="7">
        <f>(F64+G64)/2</f>
        <v>1300</v>
      </c>
      <c r="I64" s="9">
        <v>8</v>
      </c>
      <c r="J64" s="10" t="s">
        <v>81</v>
      </c>
      <c r="K64" s="8" t="s">
        <v>27</v>
      </c>
      <c r="L64" s="8" t="s">
        <v>28</v>
      </c>
      <c r="M64" s="8" t="s">
        <v>39</v>
      </c>
      <c r="N64" s="8"/>
      <c r="O64" s="8" t="s">
        <v>40</v>
      </c>
      <c r="P64" s="11">
        <v>9.1</v>
      </c>
      <c r="Q64" s="11">
        <v>3.4</v>
      </c>
      <c r="R64" s="11">
        <v>11.3</v>
      </c>
      <c r="S64" s="11">
        <f>P64*4</f>
        <v>36.4</v>
      </c>
      <c r="T64" s="11">
        <f>Q64*4</f>
        <v>13.6</v>
      </c>
      <c r="U64" s="11">
        <f>R64*4</f>
        <v>45.2</v>
      </c>
      <c r="V64" s="12">
        <f>4/3*3.14*U64^2*T64</f>
        <v>116327.97354666666</v>
      </c>
      <c r="W64" s="12">
        <f>V64/1000</f>
        <v>116.32797354666666</v>
      </c>
    </row>
    <row r="65" spans="1:23" x14ac:dyDescent="0.25">
      <c r="A65" s="7">
        <v>64</v>
      </c>
      <c r="B65" s="8" t="s">
        <v>124</v>
      </c>
      <c r="C65" s="8" t="s">
        <v>125</v>
      </c>
      <c r="D65" s="7" t="s">
        <v>126</v>
      </c>
      <c r="E65" s="8" t="s">
        <v>25</v>
      </c>
      <c r="F65" s="7">
        <v>-800</v>
      </c>
      <c r="G65" s="7">
        <v>-200</v>
      </c>
      <c r="H65" s="7">
        <f>(F65+G65)/2</f>
        <v>-500</v>
      </c>
      <c r="I65" s="9">
        <v>4</v>
      </c>
      <c r="J65" s="10" t="s">
        <v>65</v>
      </c>
      <c r="K65" s="8" t="s">
        <v>27</v>
      </c>
      <c r="L65" s="8" t="s">
        <v>28</v>
      </c>
      <c r="M65" s="8" t="s">
        <v>39</v>
      </c>
      <c r="N65" s="8"/>
      <c r="O65" s="8" t="s">
        <v>40</v>
      </c>
      <c r="P65" s="11">
        <v>3.6</v>
      </c>
      <c r="Q65" s="11">
        <v>1.9</v>
      </c>
      <c r="R65" s="11">
        <v>3.6</v>
      </c>
      <c r="S65" s="11">
        <f>P65*4</f>
        <v>14.4</v>
      </c>
      <c r="T65" s="11">
        <f>Q65*4</f>
        <v>7.6</v>
      </c>
      <c r="U65" s="11">
        <f>R65*4</f>
        <v>14.4</v>
      </c>
      <c r="V65" s="12">
        <f>(2/3)*3.14*(U65/2)^3</f>
        <v>781.33248000000003</v>
      </c>
      <c r="W65" s="12">
        <f>V65/1000</f>
        <v>0.78133248</v>
      </c>
    </row>
    <row r="66" spans="1:23" x14ac:dyDescent="0.25">
      <c r="A66" s="7">
        <v>65</v>
      </c>
      <c r="B66" s="8" t="s">
        <v>124</v>
      </c>
      <c r="C66" s="8" t="s">
        <v>127</v>
      </c>
      <c r="D66" s="7" t="s">
        <v>126</v>
      </c>
      <c r="E66" s="8" t="s">
        <v>25</v>
      </c>
      <c r="F66" s="7">
        <v>-800</v>
      </c>
      <c r="G66" s="7">
        <v>-200</v>
      </c>
      <c r="H66" s="7">
        <f>(F66+G66)/2</f>
        <v>-500</v>
      </c>
      <c r="I66" s="9">
        <v>3</v>
      </c>
      <c r="J66" s="10" t="s">
        <v>26</v>
      </c>
      <c r="K66" s="8" t="s">
        <v>27</v>
      </c>
      <c r="L66" s="8" t="s">
        <v>28</v>
      </c>
      <c r="M66" s="8" t="s">
        <v>39</v>
      </c>
      <c r="N66" s="8"/>
      <c r="O66" s="8" t="s">
        <v>40</v>
      </c>
      <c r="P66" s="11">
        <v>4.5999999999999996</v>
      </c>
      <c r="Q66" s="11">
        <v>2.5</v>
      </c>
      <c r="R66" s="11">
        <v>5.0999999999999996</v>
      </c>
      <c r="S66" s="11">
        <f>P66*4</f>
        <v>18.399999999999999</v>
      </c>
      <c r="T66" s="11">
        <f>Q66*4</f>
        <v>10</v>
      </c>
      <c r="U66" s="11">
        <f>R66*4</f>
        <v>20.399999999999999</v>
      </c>
      <c r="V66" s="12">
        <f>4/3*3.14*U66^2*T66</f>
        <v>17423.231999999996</v>
      </c>
      <c r="W66" s="12">
        <f>V66/1000</f>
        <v>17.423231999999995</v>
      </c>
    </row>
    <row r="67" spans="1:23" x14ac:dyDescent="0.25">
      <c r="A67" s="7">
        <v>66</v>
      </c>
      <c r="B67" s="8" t="s">
        <v>124</v>
      </c>
      <c r="C67" s="8" t="s">
        <v>128</v>
      </c>
      <c r="D67" s="7" t="s">
        <v>126</v>
      </c>
      <c r="E67" s="8" t="s">
        <v>25</v>
      </c>
      <c r="F67" s="7">
        <v>-800</v>
      </c>
      <c r="G67" s="7">
        <v>-200</v>
      </c>
      <c r="H67" s="7">
        <f>(F67+G67)/2</f>
        <v>-500</v>
      </c>
      <c r="I67" s="9">
        <v>3</v>
      </c>
      <c r="J67" s="10" t="s">
        <v>26</v>
      </c>
      <c r="K67" s="8" t="s">
        <v>27</v>
      </c>
      <c r="L67" s="8" t="s">
        <v>28</v>
      </c>
      <c r="M67" s="8" t="s">
        <v>39</v>
      </c>
      <c r="N67" s="8"/>
      <c r="O67" s="8" t="s">
        <v>40</v>
      </c>
      <c r="P67" s="11">
        <v>4.7</v>
      </c>
      <c r="Q67" s="11">
        <v>2.9</v>
      </c>
      <c r="R67" s="11">
        <v>5.2</v>
      </c>
      <c r="S67" s="11">
        <f>P67*4</f>
        <v>18.8</v>
      </c>
      <c r="T67" s="11">
        <f>Q67*4</f>
        <v>11.6</v>
      </c>
      <c r="U67" s="11">
        <f>R67*4</f>
        <v>20.8</v>
      </c>
      <c r="V67" s="12">
        <f>4/3*3.14*U67^2*T67</f>
        <v>21011.305813333336</v>
      </c>
      <c r="W67" s="12">
        <f>V67/1000</f>
        <v>21.011305813333337</v>
      </c>
    </row>
    <row r="68" spans="1:23" x14ac:dyDescent="0.25">
      <c r="A68" s="7">
        <v>67</v>
      </c>
      <c r="B68" s="8" t="s">
        <v>124</v>
      </c>
      <c r="C68" s="8" t="s">
        <v>129</v>
      </c>
      <c r="D68" s="7" t="s">
        <v>126</v>
      </c>
      <c r="E68" s="8" t="s">
        <v>25</v>
      </c>
      <c r="F68" s="7">
        <v>-800</v>
      </c>
      <c r="G68" s="7">
        <v>-200</v>
      </c>
      <c r="H68" s="7">
        <f>(F68+G68)/2</f>
        <v>-500</v>
      </c>
      <c r="I68" s="9">
        <v>10</v>
      </c>
      <c r="J68" s="10" t="s">
        <v>32</v>
      </c>
      <c r="K68" s="8" t="s">
        <v>77</v>
      </c>
      <c r="L68" s="8" t="s">
        <v>77</v>
      </c>
      <c r="M68" s="8"/>
      <c r="N68" s="8"/>
      <c r="O68" s="8" t="s">
        <v>44</v>
      </c>
      <c r="P68" s="11">
        <v>7.8</v>
      </c>
      <c r="Q68" s="11">
        <v>11.9</v>
      </c>
      <c r="R68" s="11">
        <v>10.7</v>
      </c>
      <c r="S68" s="11">
        <f>P68*4</f>
        <v>31.2</v>
      </c>
      <c r="T68" s="11">
        <f>Q68*4</f>
        <v>47.6</v>
      </c>
      <c r="U68" s="11">
        <f>R68*4</f>
        <v>42.8</v>
      </c>
      <c r="V68" s="12">
        <f>4/3*3.14*U68^2*T68</f>
        <v>365058.84501333331</v>
      </c>
      <c r="W68" s="12">
        <f>V68/1000</f>
        <v>365.05884501333333</v>
      </c>
    </row>
    <row r="69" spans="1:23" x14ac:dyDescent="0.25">
      <c r="A69" s="7">
        <v>68</v>
      </c>
      <c r="B69" s="8" t="s">
        <v>124</v>
      </c>
      <c r="C69" s="8" t="s">
        <v>130</v>
      </c>
      <c r="D69" s="7" t="s">
        <v>126</v>
      </c>
      <c r="E69" s="8" t="s">
        <v>25</v>
      </c>
      <c r="F69" s="7">
        <v>-800</v>
      </c>
      <c r="G69" s="7">
        <v>-200</v>
      </c>
      <c r="H69" s="7">
        <f>(F69+G69)/2</f>
        <v>-500</v>
      </c>
      <c r="I69" s="9">
        <v>5</v>
      </c>
      <c r="J69" s="10" t="s">
        <v>34</v>
      </c>
      <c r="K69" s="8" t="s">
        <v>108</v>
      </c>
      <c r="L69" s="8" t="s">
        <v>109</v>
      </c>
      <c r="M69" s="8" t="s">
        <v>39</v>
      </c>
      <c r="N69" s="8"/>
      <c r="O69" s="8" t="s">
        <v>40</v>
      </c>
      <c r="P69" s="11">
        <v>5.9</v>
      </c>
      <c r="Q69" s="11">
        <v>6.3</v>
      </c>
      <c r="R69" s="11">
        <v>7.1</v>
      </c>
      <c r="S69" s="11">
        <f>P69*4</f>
        <v>23.6</v>
      </c>
      <c r="T69" s="11">
        <f>Q69*4</f>
        <v>25.2</v>
      </c>
      <c r="U69" s="11">
        <f>R69*4</f>
        <v>28.4</v>
      </c>
      <c r="V69" s="12">
        <f>(4/3)*3.14*(U69/2)^3</f>
        <v>11987.632426666665</v>
      </c>
      <c r="W69" s="12">
        <f>V69/1000</f>
        <v>11.987632426666666</v>
      </c>
    </row>
    <row r="70" spans="1:23" x14ac:dyDescent="0.25">
      <c r="A70" s="7">
        <v>69</v>
      </c>
      <c r="B70" s="8" t="s">
        <v>124</v>
      </c>
      <c r="C70" s="8" t="s">
        <v>131</v>
      </c>
      <c r="D70" s="7" t="s">
        <v>126</v>
      </c>
      <c r="E70" s="8" t="s">
        <v>25</v>
      </c>
      <c r="F70" s="7">
        <v>-800</v>
      </c>
      <c r="G70" s="7">
        <v>-200</v>
      </c>
      <c r="H70" s="7">
        <f>(F70+G70)/2</f>
        <v>-500</v>
      </c>
      <c r="I70" s="9">
        <v>5</v>
      </c>
      <c r="J70" s="10" t="s">
        <v>34</v>
      </c>
      <c r="K70" s="8" t="s">
        <v>77</v>
      </c>
      <c r="L70" s="8" t="s">
        <v>77</v>
      </c>
      <c r="M70" s="8" t="s">
        <v>132</v>
      </c>
      <c r="N70" s="8"/>
      <c r="O70" s="8" t="s">
        <v>40</v>
      </c>
      <c r="P70" s="11">
        <v>4.3</v>
      </c>
      <c r="Q70" s="11">
        <v>6.6</v>
      </c>
      <c r="R70" s="11">
        <v>6.4</v>
      </c>
      <c r="S70" s="11">
        <f>P70*4</f>
        <v>17.2</v>
      </c>
      <c r="T70" s="11">
        <f>Q70*4</f>
        <v>26.4</v>
      </c>
      <c r="U70" s="11">
        <f>R70*4</f>
        <v>25.6</v>
      </c>
      <c r="V70" s="12">
        <f>(4/3)*3.14*(U70/2)^3</f>
        <v>8780.0763733333351</v>
      </c>
      <c r="W70" s="12">
        <f>V70/1000</f>
        <v>8.7800763733333351</v>
      </c>
    </row>
    <row r="71" spans="1:23" x14ac:dyDescent="0.25">
      <c r="A71" s="7">
        <v>70</v>
      </c>
      <c r="B71" s="8" t="s">
        <v>124</v>
      </c>
      <c r="C71" s="8" t="s">
        <v>133</v>
      </c>
      <c r="D71" s="7" t="s">
        <v>126</v>
      </c>
      <c r="E71" s="8" t="s">
        <v>25</v>
      </c>
      <c r="F71" s="7">
        <v>-800</v>
      </c>
      <c r="G71" s="7">
        <v>-200</v>
      </c>
      <c r="H71" s="7">
        <f>(F71+G71)/2</f>
        <v>-500</v>
      </c>
      <c r="I71" s="9">
        <v>10</v>
      </c>
      <c r="J71" s="10" t="s">
        <v>32</v>
      </c>
      <c r="K71" s="8" t="s">
        <v>77</v>
      </c>
      <c r="L71" s="8" t="s">
        <v>77</v>
      </c>
      <c r="M71" s="8"/>
      <c r="N71" s="8"/>
      <c r="O71" s="8" t="s">
        <v>44</v>
      </c>
      <c r="P71" s="11">
        <v>7.2</v>
      </c>
      <c r="Q71" s="11">
        <v>11.7</v>
      </c>
      <c r="R71" s="11">
        <v>11.2</v>
      </c>
      <c r="S71" s="11">
        <f>P71*4</f>
        <v>28.8</v>
      </c>
      <c r="T71" s="11">
        <f>Q71*4</f>
        <v>46.8</v>
      </c>
      <c r="U71" s="11">
        <f>R71*4</f>
        <v>44.8</v>
      </c>
      <c r="V71" s="12">
        <f>4/3*3.14*U71^2*T71</f>
        <v>393251.38943999988</v>
      </c>
      <c r="W71" s="12">
        <f>V71/1000</f>
        <v>393.25138943999985</v>
      </c>
    </row>
    <row r="72" spans="1:23" x14ac:dyDescent="0.25">
      <c r="A72" s="7">
        <v>71</v>
      </c>
      <c r="B72" s="8" t="s">
        <v>124</v>
      </c>
      <c r="C72" s="8" t="s">
        <v>134</v>
      </c>
      <c r="D72" s="7" t="s">
        <v>126</v>
      </c>
      <c r="E72" s="8" t="s">
        <v>25</v>
      </c>
      <c r="F72" s="7">
        <v>-800</v>
      </c>
      <c r="G72" s="7">
        <v>-200</v>
      </c>
      <c r="H72" s="7">
        <f>(F72+G72)/2</f>
        <v>-500</v>
      </c>
      <c r="I72" s="9">
        <v>10</v>
      </c>
      <c r="J72" s="10" t="s">
        <v>26</v>
      </c>
      <c r="K72" s="8" t="s">
        <v>77</v>
      </c>
      <c r="L72" s="8" t="s">
        <v>77</v>
      </c>
      <c r="M72" s="8"/>
      <c r="N72" s="8"/>
      <c r="O72" s="8" t="s">
        <v>44</v>
      </c>
      <c r="P72" s="11">
        <v>5.4</v>
      </c>
      <c r="Q72" s="11">
        <v>6.4</v>
      </c>
      <c r="R72" s="11">
        <v>6.2</v>
      </c>
      <c r="S72" s="11">
        <f>P72*4</f>
        <v>21.6</v>
      </c>
      <c r="T72" s="11">
        <f>Q72*4</f>
        <v>25.6</v>
      </c>
      <c r="U72" s="11">
        <f>R72*4</f>
        <v>24.8</v>
      </c>
      <c r="V72" s="12">
        <f>4/3*3.14*U72^2*T72</f>
        <v>65919.167146666674</v>
      </c>
      <c r="W72" s="12">
        <f>V72/1000</f>
        <v>65.91916714666668</v>
      </c>
    </row>
    <row r="73" spans="1:23" x14ac:dyDescent="0.25">
      <c r="A73" s="7">
        <v>72</v>
      </c>
      <c r="B73" s="8" t="s">
        <v>124</v>
      </c>
      <c r="C73" s="8" t="s">
        <v>135</v>
      </c>
      <c r="D73" s="7" t="s">
        <v>126</v>
      </c>
      <c r="E73" s="8" t="s">
        <v>25</v>
      </c>
      <c r="F73" s="7">
        <v>-800</v>
      </c>
      <c r="G73" s="7">
        <v>-200</v>
      </c>
      <c r="H73" s="7">
        <f>(F73+G73)/2</f>
        <v>-500</v>
      </c>
      <c r="I73" s="9">
        <v>6</v>
      </c>
      <c r="J73" s="10" t="s">
        <v>32</v>
      </c>
      <c r="K73" s="8" t="s">
        <v>27</v>
      </c>
      <c r="L73" s="8" t="s">
        <v>28</v>
      </c>
      <c r="M73" s="8"/>
      <c r="N73" s="8"/>
      <c r="O73" s="8" t="s">
        <v>44</v>
      </c>
      <c r="P73" s="11">
        <v>4.3</v>
      </c>
      <c r="Q73" s="11">
        <v>8.6</v>
      </c>
      <c r="R73" s="11">
        <v>9.6</v>
      </c>
      <c r="S73" s="11">
        <f>P73*4</f>
        <v>17.2</v>
      </c>
      <c r="T73" s="11">
        <f>Q73*4</f>
        <v>34.4</v>
      </c>
      <c r="U73" s="11">
        <f>R73*4</f>
        <v>38.4</v>
      </c>
      <c r="V73" s="12">
        <f>(4/3)*3.14*(U73/2)^3</f>
        <v>29632.75776</v>
      </c>
      <c r="W73" s="12">
        <f>V73/1000</f>
        <v>29.632757760000001</v>
      </c>
    </row>
    <row r="74" spans="1:23" x14ac:dyDescent="0.25">
      <c r="A74" s="7">
        <v>73</v>
      </c>
      <c r="B74" s="8" t="s">
        <v>124</v>
      </c>
      <c r="C74" s="8" t="s">
        <v>136</v>
      </c>
      <c r="D74" s="7" t="s">
        <v>126</v>
      </c>
      <c r="E74" s="8" t="s">
        <v>25</v>
      </c>
      <c r="F74" s="7">
        <v>-800</v>
      </c>
      <c r="G74" s="7">
        <v>-200</v>
      </c>
      <c r="H74" s="7">
        <f>(F74+G74)/2</f>
        <v>-500</v>
      </c>
      <c r="I74" s="9">
        <v>2</v>
      </c>
      <c r="J74" s="10" t="s">
        <v>34</v>
      </c>
      <c r="K74" s="8" t="s">
        <v>137</v>
      </c>
      <c r="L74" s="8" t="s">
        <v>138</v>
      </c>
      <c r="M74" s="8"/>
      <c r="N74" s="8"/>
      <c r="O74" s="8" t="s">
        <v>29</v>
      </c>
      <c r="P74" s="11">
        <v>6.3</v>
      </c>
      <c r="Q74" s="11">
        <v>2.9</v>
      </c>
      <c r="R74" s="11">
        <v>6.3</v>
      </c>
      <c r="S74" s="11">
        <f>P74*4</f>
        <v>25.2</v>
      </c>
      <c r="T74" s="11">
        <f>Q74*4</f>
        <v>11.6</v>
      </c>
      <c r="U74" s="11">
        <f>R74*4</f>
        <v>25.2</v>
      </c>
      <c r="V74" s="12">
        <f>(1/3)*3.14*T74^2*(3*(U74/2)-T74)</f>
        <v>3689.9940266666658</v>
      </c>
      <c r="W74" s="12">
        <f>V74/1000</f>
        <v>3.6899940266666658</v>
      </c>
    </row>
    <row r="75" spans="1:23" x14ac:dyDescent="0.25">
      <c r="A75" s="7">
        <v>74</v>
      </c>
      <c r="B75" s="8" t="s">
        <v>124</v>
      </c>
      <c r="C75" s="8" t="s">
        <v>139</v>
      </c>
      <c r="D75" s="7" t="s">
        <v>119</v>
      </c>
      <c r="E75" s="8" t="s">
        <v>51</v>
      </c>
      <c r="F75" s="7">
        <v>1000</v>
      </c>
      <c r="G75" s="7">
        <v>1600</v>
      </c>
      <c r="H75" s="7">
        <f>(F75+G75)/2</f>
        <v>1300</v>
      </c>
      <c r="I75" s="9">
        <v>1</v>
      </c>
      <c r="J75" s="10" t="s">
        <v>26</v>
      </c>
      <c r="K75" s="8" t="s">
        <v>108</v>
      </c>
      <c r="L75" s="8" t="s">
        <v>109</v>
      </c>
      <c r="M75" s="8" t="s">
        <v>140</v>
      </c>
      <c r="N75" s="8"/>
      <c r="O75" s="8" t="s">
        <v>71</v>
      </c>
      <c r="P75" s="11">
        <v>5.5</v>
      </c>
      <c r="Q75" s="11">
        <v>1.7</v>
      </c>
      <c r="R75" s="11">
        <v>5.5</v>
      </c>
      <c r="S75" s="11">
        <f>P75*4</f>
        <v>22</v>
      </c>
      <c r="T75" s="11">
        <f>Q75*4</f>
        <v>6.8</v>
      </c>
      <c r="U75" s="11">
        <f>R75*4</f>
        <v>22</v>
      </c>
      <c r="V75" s="12">
        <f>(1/3)*3.14*T75^2*(3*(U75/2)-T75)</f>
        <v>1268.0241066666665</v>
      </c>
      <c r="W75" s="12">
        <f>V75/1000</f>
        <v>1.2680241066666664</v>
      </c>
    </row>
    <row r="76" spans="1:23" x14ac:dyDescent="0.25">
      <c r="A76" s="7">
        <v>75</v>
      </c>
      <c r="B76" s="8" t="s">
        <v>124</v>
      </c>
      <c r="C76" s="8" t="s">
        <v>141</v>
      </c>
      <c r="D76" s="7" t="s">
        <v>119</v>
      </c>
      <c r="E76" s="8" t="s">
        <v>51</v>
      </c>
      <c r="F76" s="7">
        <v>1000</v>
      </c>
      <c r="G76" s="7">
        <v>1600</v>
      </c>
      <c r="H76" s="7">
        <f>(F76+G76)/2</f>
        <v>1300</v>
      </c>
      <c r="I76" s="9">
        <v>3</v>
      </c>
      <c r="J76" s="10" t="s">
        <v>32</v>
      </c>
      <c r="K76" s="8" t="s">
        <v>27</v>
      </c>
      <c r="L76" s="8" t="s">
        <v>28</v>
      </c>
      <c r="M76" s="8" t="s">
        <v>39</v>
      </c>
      <c r="N76" s="8" t="s">
        <v>99</v>
      </c>
      <c r="O76" s="8" t="s">
        <v>40</v>
      </c>
      <c r="P76" s="11">
        <v>7.1</v>
      </c>
      <c r="Q76" s="11">
        <v>4.8</v>
      </c>
      <c r="R76" s="11">
        <v>9</v>
      </c>
      <c r="S76" s="11">
        <f>P76*4</f>
        <v>28.4</v>
      </c>
      <c r="T76" s="11">
        <f>Q76*4</f>
        <v>19.2</v>
      </c>
      <c r="U76" s="11">
        <f>R76*4</f>
        <v>36</v>
      </c>
      <c r="V76" s="12">
        <f>4/3*3.14*U76^2*T76</f>
        <v>104177.664</v>
      </c>
      <c r="W76" s="12">
        <f>V76/1000</f>
        <v>104.17766400000001</v>
      </c>
    </row>
    <row r="77" spans="1:23" x14ac:dyDescent="0.25">
      <c r="A77" s="7">
        <v>76</v>
      </c>
      <c r="B77" s="8" t="s">
        <v>124</v>
      </c>
      <c r="C77" s="8" t="s">
        <v>142</v>
      </c>
      <c r="D77" s="7" t="s">
        <v>119</v>
      </c>
      <c r="E77" s="8" t="s">
        <v>51</v>
      </c>
      <c r="F77" s="7">
        <v>1000</v>
      </c>
      <c r="G77" s="7">
        <v>1600</v>
      </c>
      <c r="H77" s="7">
        <f>(F77+G77)/2</f>
        <v>1300</v>
      </c>
      <c r="I77" s="9">
        <v>4</v>
      </c>
      <c r="J77" s="10" t="s">
        <v>34</v>
      </c>
      <c r="K77" s="8" t="s">
        <v>108</v>
      </c>
      <c r="L77" s="8" t="s">
        <v>109</v>
      </c>
      <c r="M77" s="8" t="s">
        <v>39</v>
      </c>
      <c r="N77" s="8"/>
      <c r="O77" s="8" t="s">
        <v>40</v>
      </c>
      <c r="P77" s="11">
        <v>7.2</v>
      </c>
      <c r="Q77" s="11">
        <v>5.6</v>
      </c>
      <c r="R77" s="11">
        <v>7.2</v>
      </c>
      <c r="S77" s="11">
        <f>P77*4</f>
        <v>28.8</v>
      </c>
      <c r="T77" s="11">
        <f>Q77*4</f>
        <v>22.4</v>
      </c>
      <c r="U77" s="11">
        <f>R77*4</f>
        <v>28.8</v>
      </c>
      <c r="V77" s="12">
        <f>(2/3)*3.14*(U77/2)^3</f>
        <v>6250.6598400000003</v>
      </c>
      <c r="W77" s="12">
        <f>V77/1000</f>
        <v>6.25065984</v>
      </c>
    </row>
    <row r="78" spans="1:23" x14ac:dyDescent="0.25">
      <c r="A78" s="7">
        <v>77</v>
      </c>
      <c r="B78" s="8" t="s">
        <v>124</v>
      </c>
      <c r="C78" s="8" t="s">
        <v>143</v>
      </c>
      <c r="D78" s="7" t="s">
        <v>119</v>
      </c>
      <c r="E78" s="8" t="s">
        <v>51</v>
      </c>
      <c r="F78" s="7">
        <v>1000</v>
      </c>
      <c r="G78" s="7">
        <v>1600</v>
      </c>
      <c r="H78" s="7">
        <f>(F78+G78)/2</f>
        <v>1300</v>
      </c>
      <c r="I78" s="9">
        <v>6</v>
      </c>
      <c r="J78" s="10" t="s">
        <v>34</v>
      </c>
      <c r="K78" s="8" t="s">
        <v>59</v>
      </c>
      <c r="L78" s="8" t="s">
        <v>60</v>
      </c>
      <c r="M78" s="8" t="s">
        <v>39</v>
      </c>
      <c r="N78" s="8"/>
      <c r="O78" s="8" t="s">
        <v>40</v>
      </c>
      <c r="P78" s="11">
        <v>4.3</v>
      </c>
      <c r="Q78" s="11">
        <v>6.4</v>
      </c>
      <c r="R78" s="11">
        <v>7.7</v>
      </c>
      <c r="S78" s="11">
        <f>P78*4</f>
        <v>17.2</v>
      </c>
      <c r="T78" s="11">
        <f>Q78*4</f>
        <v>25.6</v>
      </c>
      <c r="U78" s="11">
        <f>R78*4</f>
        <v>30.8</v>
      </c>
      <c r="V78" s="12">
        <f>(4/3)*3.14*(U78/2)^3</f>
        <v>15290.811946666669</v>
      </c>
      <c r="W78" s="12">
        <f>V78/1000</f>
        <v>15.290811946666668</v>
      </c>
    </row>
    <row r="79" spans="1:23" x14ac:dyDescent="0.25">
      <c r="A79" s="7">
        <v>78</v>
      </c>
      <c r="B79" s="8" t="s">
        <v>144</v>
      </c>
      <c r="C79" s="8" t="s">
        <v>145</v>
      </c>
      <c r="D79" s="7" t="s">
        <v>146</v>
      </c>
      <c r="E79" s="8" t="s">
        <v>51</v>
      </c>
      <c r="F79" s="7">
        <v>700</v>
      </c>
      <c r="G79" s="7">
        <v>1100</v>
      </c>
      <c r="H79" s="7">
        <f>(F79+G79)/2</f>
        <v>900</v>
      </c>
      <c r="I79" s="9">
        <v>4</v>
      </c>
      <c r="J79" s="10" t="s">
        <v>32</v>
      </c>
      <c r="K79" s="8" t="s">
        <v>108</v>
      </c>
      <c r="L79" s="8" t="s">
        <v>109</v>
      </c>
      <c r="M79" s="8"/>
      <c r="N79" s="8"/>
      <c r="O79" s="8" t="s">
        <v>29</v>
      </c>
      <c r="P79" s="11">
        <v>10.4</v>
      </c>
      <c r="Q79" s="11">
        <v>7.9</v>
      </c>
      <c r="R79" s="11">
        <v>10.5</v>
      </c>
      <c r="S79" s="11">
        <f>P79*4</f>
        <v>41.6</v>
      </c>
      <c r="T79" s="11">
        <f>Q79*4</f>
        <v>31.6</v>
      </c>
      <c r="U79" s="11">
        <f>R79*4</f>
        <v>42</v>
      </c>
      <c r="V79" s="12">
        <f>(2/3)*3.14*(U79/2)^3</f>
        <v>19386.36</v>
      </c>
      <c r="W79" s="12">
        <f>V79/1000</f>
        <v>19.38636</v>
      </c>
    </row>
    <row r="80" spans="1:23" x14ac:dyDescent="0.25">
      <c r="A80" s="7">
        <v>79</v>
      </c>
      <c r="B80" s="8" t="s">
        <v>144</v>
      </c>
      <c r="C80" s="8" t="s">
        <v>147</v>
      </c>
      <c r="D80" s="7" t="s">
        <v>146</v>
      </c>
      <c r="E80" s="8" t="s">
        <v>51</v>
      </c>
      <c r="F80" s="7">
        <v>700</v>
      </c>
      <c r="G80" s="7">
        <v>1100</v>
      </c>
      <c r="H80" s="7">
        <f>(F80+G80)/2</f>
        <v>900</v>
      </c>
      <c r="I80" s="9">
        <v>2</v>
      </c>
      <c r="J80" s="10" t="s">
        <v>32</v>
      </c>
      <c r="K80" s="8" t="s">
        <v>77</v>
      </c>
      <c r="L80" s="8" t="s">
        <v>77</v>
      </c>
      <c r="M80" s="8"/>
      <c r="N80" s="8"/>
      <c r="O80" s="8" t="s">
        <v>29</v>
      </c>
      <c r="P80" s="11">
        <v>9.6</v>
      </c>
      <c r="Q80" s="11">
        <v>5.0999999999999996</v>
      </c>
      <c r="R80" s="11">
        <v>9.6</v>
      </c>
      <c r="S80" s="11">
        <f>P80*4</f>
        <v>38.4</v>
      </c>
      <c r="T80" s="11">
        <f>Q80*4</f>
        <v>20.399999999999999</v>
      </c>
      <c r="U80" s="11">
        <f>R80*4</f>
        <v>38.4</v>
      </c>
      <c r="V80" s="12">
        <f>(1/3)*3.14*T80^2*(3*(U80/2)-T80)</f>
        <v>16203.605759999997</v>
      </c>
      <c r="W80" s="12">
        <f>V80/1000</f>
        <v>16.203605759999995</v>
      </c>
    </row>
    <row r="81" spans="1:23" x14ac:dyDescent="0.25">
      <c r="A81" s="7">
        <v>80</v>
      </c>
      <c r="B81" s="8" t="s">
        <v>144</v>
      </c>
      <c r="C81" s="8" t="s">
        <v>148</v>
      </c>
      <c r="D81" s="7" t="s">
        <v>146</v>
      </c>
      <c r="E81" s="8" t="s">
        <v>51</v>
      </c>
      <c r="F81" s="7">
        <v>700</v>
      </c>
      <c r="G81" s="7">
        <v>1100</v>
      </c>
      <c r="H81" s="7">
        <f>(F81+G81)/2</f>
        <v>900</v>
      </c>
      <c r="I81" s="9">
        <v>2</v>
      </c>
      <c r="J81" s="10" t="s">
        <v>34</v>
      </c>
      <c r="K81" s="8" t="s">
        <v>77</v>
      </c>
      <c r="L81" s="8" t="s">
        <v>77</v>
      </c>
      <c r="M81" s="8"/>
      <c r="N81" s="8"/>
      <c r="O81" s="8" t="s">
        <v>44</v>
      </c>
      <c r="P81" s="11">
        <v>8.1</v>
      </c>
      <c r="Q81" s="11">
        <v>4.0999999999999996</v>
      </c>
      <c r="R81" s="11">
        <v>8.1</v>
      </c>
      <c r="S81" s="11">
        <f>P81*4</f>
        <v>32.4</v>
      </c>
      <c r="T81" s="11">
        <f>Q81*4</f>
        <v>16.399999999999999</v>
      </c>
      <c r="U81" s="11">
        <f>R81*4</f>
        <v>32.4</v>
      </c>
      <c r="V81" s="12">
        <f>(1/3)*3.14*T81^2*(3*(U81/2)-T81)</f>
        <v>9064.6692266666651</v>
      </c>
      <c r="W81" s="12">
        <f>V81/1000</f>
        <v>9.0646692266666644</v>
      </c>
    </row>
    <row r="82" spans="1:23" x14ac:dyDescent="0.25">
      <c r="A82" s="7">
        <v>81</v>
      </c>
      <c r="B82" s="8" t="s">
        <v>144</v>
      </c>
      <c r="C82" s="8" t="s">
        <v>149</v>
      </c>
      <c r="D82" s="7" t="s">
        <v>146</v>
      </c>
      <c r="E82" s="8" t="s">
        <v>51</v>
      </c>
      <c r="F82" s="7">
        <v>700</v>
      </c>
      <c r="G82" s="7">
        <v>1100</v>
      </c>
      <c r="H82" s="7">
        <f>(F82+G82)/2</f>
        <v>900</v>
      </c>
      <c r="I82" s="9">
        <v>2</v>
      </c>
      <c r="J82" s="10" t="s">
        <v>34</v>
      </c>
      <c r="K82" s="8" t="s">
        <v>77</v>
      </c>
      <c r="L82" s="8" t="s">
        <v>77</v>
      </c>
      <c r="M82" s="8"/>
      <c r="N82" s="8"/>
      <c r="O82" s="8" t="s">
        <v>44</v>
      </c>
      <c r="P82" s="11">
        <v>8.5</v>
      </c>
      <c r="Q82" s="11">
        <v>4</v>
      </c>
      <c r="R82" s="11">
        <v>8.5</v>
      </c>
      <c r="S82" s="11">
        <f>P82*4</f>
        <v>34</v>
      </c>
      <c r="T82" s="11">
        <f>Q82*4</f>
        <v>16</v>
      </c>
      <c r="U82" s="11">
        <f>R82*4</f>
        <v>34</v>
      </c>
      <c r="V82" s="12">
        <f>(1/3)*3.14*T82^2*(3*(U82/2)-T82)</f>
        <v>9378.1333333333332</v>
      </c>
      <c r="W82" s="12">
        <f>V82/1000</f>
        <v>9.3781333333333325</v>
      </c>
    </row>
    <row r="83" spans="1:23" x14ac:dyDescent="0.25">
      <c r="A83" s="7">
        <v>82</v>
      </c>
      <c r="B83" s="8" t="s">
        <v>144</v>
      </c>
      <c r="C83" s="8" t="s">
        <v>150</v>
      </c>
      <c r="D83" s="7" t="s">
        <v>146</v>
      </c>
      <c r="E83" s="8" t="s">
        <v>51</v>
      </c>
      <c r="F83" s="7">
        <v>700</v>
      </c>
      <c r="G83" s="7">
        <v>1100</v>
      </c>
      <c r="H83" s="7">
        <f>(F83+G83)/2</f>
        <v>900</v>
      </c>
      <c r="I83" s="9">
        <v>14</v>
      </c>
      <c r="J83" s="10" t="s">
        <v>26</v>
      </c>
      <c r="K83" s="8" t="s">
        <v>27</v>
      </c>
      <c r="L83" s="8" t="s">
        <v>28</v>
      </c>
      <c r="M83" s="8" t="s">
        <v>39</v>
      </c>
      <c r="N83" s="8"/>
      <c r="O83" s="8" t="s">
        <v>71</v>
      </c>
      <c r="P83" s="11">
        <v>2.9</v>
      </c>
      <c r="Q83" s="11">
        <v>6.9</v>
      </c>
      <c r="R83" s="11">
        <v>4.9000000000000004</v>
      </c>
      <c r="S83" s="11">
        <f>P83*4</f>
        <v>11.6</v>
      </c>
      <c r="T83" s="11">
        <f>Q83*4</f>
        <v>27.6</v>
      </c>
      <c r="U83" s="11">
        <f>R83*4</f>
        <v>19.600000000000001</v>
      </c>
      <c r="V83" s="12"/>
      <c r="W83" s="12">
        <f>V83/1000</f>
        <v>0</v>
      </c>
    </row>
    <row r="84" spans="1:23" x14ac:dyDescent="0.25">
      <c r="A84" s="7">
        <v>83</v>
      </c>
      <c r="B84" s="8" t="s">
        <v>144</v>
      </c>
      <c r="C84" s="8" t="s">
        <v>151</v>
      </c>
      <c r="D84" s="7" t="s">
        <v>146</v>
      </c>
      <c r="E84" s="8" t="s">
        <v>51</v>
      </c>
      <c r="F84" s="7">
        <v>700</v>
      </c>
      <c r="G84" s="7">
        <v>1100</v>
      </c>
      <c r="H84" s="7">
        <f>(F84+G84)/2</f>
        <v>900</v>
      </c>
      <c r="I84" s="9">
        <v>5</v>
      </c>
      <c r="J84" s="10" t="s">
        <v>34</v>
      </c>
      <c r="K84" s="8" t="s">
        <v>42</v>
      </c>
      <c r="L84" s="8" t="s">
        <v>43</v>
      </c>
      <c r="M84" s="8"/>
      <c r="N84" s="8"/>
      <c r="O84" s="8" t="s">
        <v>44</v>
      </c>
      <c r="P84" s="11">
        <v>4.4000000000000004</v>
      </c>
      <c r="Q84" s="11">
        <v>6.9</v>
      </c>
      <c r="R84" s="11">
        <v>6.9</v>
      </c>
      <c r="S84" s="11">
        <f>P84*4</f>
        <v>17.600000000000001</v>
      </c>
      <c r="T84" s="11">
        <f>Q84*4</f>
        <v>27.6</v>
      </c>
      <c r="U84" s="11">
        <f>R84*4</f>
        <v>27.6</v>
      </c>
      <c r="V84" s="12">
        <f>(4/3)*3.14*(U84/2)^3</f>
        <v>11002.861440000002</v>
      </c>
      <c r="W84" s="12">
        <f>V84/1000</f>
        <v>11.002861440000002</v>
      </c>
    </row>
    <row r="85" spans="1:23" x14ac:dyDescent="0.25">
      <c r="A85" s="7">
        <v>84</v>
      </c>
      <c r="B85" s="8" t="s">
        <v>144</v>
      </c>
      <c r="C85" s="8" t="s">
        <v>152</v>
      </c>
      <c r="D85" s="7" t="s">
        <v>146</v>
      </c>
      <c r="E85" s="8" t="s">
        <v>51</v>
      </c>
      <c r="F85" s="7">
        <v>700</v>
      </c>
      <c r="G85" s="7">
        <v>1100</v>
      </c>
      <c r="H85" s="7">
        <f>(F85+G85)/2</f>
        <v>900</v>
      </c>
      <c r="I85" s="9">
        <v>10</v>
      </c>
      <c r="J85" s="10" t="s">
        <v>26</v>
      </c>
      <c r="K85" s="8" t="s">
        <v>108</v>
      </c>
      <c r="L85" s="8" t="s">
        <v>109</v>
      </c>
      <c r="M85" s="8"/>
      <c r="N85" s="8"/>
      <c r="O85" s="8" t="s">
        <v>44</v>
      </c>
      <c r="P85" s="11">
        <v>3.8</v>
      </c>
      <c r="Q85" s="11">
        <v>8.3000000000000007</v>
      </c>
      <c r="R85" s="11">
        <v>5.9</v>
      </c>
      <c r="S85" s="11">
        <f>P85*4</f>
        <v>15.2</v>
      </c>
      <c r="T85" s="11">
        <f>Q85*4</f>
        <v>33.200000000000003</v>
      </c>
      <c r="U85" s="11">
        <f>R85*4</f>
        <v>23.6</v>
      </c>
      <c r="V85" s="12">
        <f>4/3*3.14*U85^2*T85</f>
        <v>77415.954773333331</v>
      </c>
      <c r="W85" s="12">
        <f>V85/1000</f>
        <v>77.415954773333326</v>
      </c>
    </row>
    <row r="86" spans="1:23" x14ac:dyDescent="0.25">
      <c r="A86" s="7">
        <v>85</v>
      </c>
      <c r="B86" s="8" t="s">
        <v>144</v>
      </c>
      <c r="C86" s="8" t="s">
        <v>153</v>
      </c>
      <c r="D86" s="7" t="s">
        <v>146</v>
      </c>
      <c r="E86" s="8" t="s">
        <v>51</v>
      </c>
      <c r="F86" s="7">
        <v>700</v>
      </c>
      <c r="G86" s="7">
        <v>1100</v>
      </c>
      <c r="H86" s="7">
        <f>(F86+G86)/2</f>
        <v>900</v>
      </c>
      <c r="I86" s="9">
        <v>5</v>
      </c>
      <c r="J86" s="10" t="s">
        <v>65</v>
      </c>
      <c r="K86" s="8" t="s">
        <v>27</v>
      </c>
      <c r="L86" s="8" t="s">
        <v>28</v>
      </c>
      <c r="M86" s="8"/>
      <c r="N86" s="8" t="s">
        <v>99</v>
      </c>
      <c r="O86" s="8" t="s">
        <v>44</v>
      </c>
      <c r="P86" s="11">
        <v>2.9</v>
      </c>
      <c r="Q86" s="11">
        <v>2.8</v>
      </c>
      <c r="R86" s="11">
        <v>3.6</v>
      </c>
      <c r="S86" s="11">
        <f>P86*4</f>
        <v>11.6</v>
      </c>
      <c r="T86" s="11">
        <f>Q86*4</f>
        <v>11.2</v>
      </c>
      <c r="U86" s="11">
        <f>R86*4</f>
        <v>14.4</v>
      </c>
      <c r="V86" s="12">
        <f>(4/3)*3.14*(U86/2)^3</f>
        <v>1562.6649600000001</v>
      </c>
      <c r="W86" s="12">
        <f>V86/1000</f>
        <v>1.56266496</v>
      </c>
    </row>
    <row r="87" spans="1:23" x14ac:dyDescent="0.25">
      <c r="A87" s="7">
        <v>86</v>
      </c>
      <c r="B87" s="8" t="s">
        <v>144</v>
      </c>
      <c r="C87" s="8" t="s">
        <v>154</v>
      </c>
      <c r="D87" s="7" t="s">
        <v>146</v>
      </c>
      <c r="E87" s="8" t="s">
        <v>51</v>
      </c>
      <c r="F87" s="7">
        <v>700</v>
      </c>
      <c r="G87" s="7">
        <v>1100</v>
      </c>
      <c r="H87" s="7">
        <f>(F87+G87)/2</f>
        <v>900</v>
      </c>
      <c r="I87" s="9">
        <v>5</v>
      </c>
      <c r="J87" s="10" t="s">
        <v>32</v>
      </c>
      <c r="K87" s="8" t="s">
        <v>42</v>
      </c>
      <c r="L87" s="8" t="s">
        <v>43</v>
      </c>
      <c r="M87" s="8"/>
      <c r="N87" s="8"/>
      <c r="O87" s="8" t="s">
        <v>44</v>
      </c>
      <c r="P87" s="11">
        <v>6.7</v>
      </c>
      <c r="Q87" s="11">
        <v>8</v>
      </c>
      <c r="R87" s="11">
        <v>9</v>
      </c>
      <c r="S87" s="11">
        <f>P87*4</f>
        <v>26.8</v>
      </c>
      <c r="T87" s="11">
        <f>Q87*4</f>
        <v>32</v>
      </c>
      <c r="U87" s="11">
        <f>R87*4</f>
        <v>36</v>
      </c>
      <c r="V87" s="12">
        <f>(4/3)*3.14*(U87/2)^3</f>
        <v>24416.639999999999</v>
      </c>
      <c r="W87" s="12">
        <f>V87/1000</f>
        <v>24.416640000000001</v>
      </c>
    </row>
    <row r="88" spans="1:23" x14ac:dyDescent="0.25">
      <c r="A88" s="7">
        <v>87</v>
      </c>
      <c r="B88" s="8" t="s">
        <v>144</v>
      </c>
      <c r="C88" s="8" t="s">
        <v>155</v>
      </c>
      <c r="D88" s="7" t="s">
        <v>146</v>
      </c>
      <c r="E88" s="8" t="s">
        <v>51</v>
      </c>
      <c r="F88" s="7">
        <v>700</v>
      </c>
      <c r="G88" s="7">
        <v>1100</v>
      </c>
      <c r="H88" s="7">
        <f>(F88+G88)/2</f>
        <v>900</v>
      </c>
      <c r="I88" s="9">
        <v>5</v>
      </c>
      <c r="J88" s="10" t="s">
        <v>34</v>
      </c>
      <c r="K88" s="8" t="s">
        <v>42</v>
      </c>
      <c r="L88" s="8" t="s">
        <v>43</v>
      </c>
      <c r="M88" s="8"/>
      <c r="N88" s="8"/>
      <c r="O88" s="8" t="s">
        <v>44</v>
      </c>
      <c r="P88" s="11">
        <v>7</v>
      </c>
      <c r="Q88" s="11">
        <v>5.5</v>
      </c>
      <c r="R88" s="11">
        <v>7.4</v>
      </c>
      <c r="S88" s="11">
        <f>P88*4</f>
        <v>28</v>
      </c>
      <c r="T88" s="11">
        <f>Q88*4</f>
        <v>22</v>
      </c>
      <c r="U88" s="11">
        <f>R88*4</f>
        <v>29.6</v>
      </c>
      <c r="V88" s="12">
        <f>(4/3)*3.14*(U88/2)^3</f>
        <v>13572.302506666669</v>
      </c>
      <c r="W88" s="12">
        <f>V88/1000</f>
        <v>13.572302506666668</v>
      </c>
    </row>
    <row r="89" spans="1:23" x14ac:dyDescent="0.25">
      <c r="A89" s="7">
        <v>88</v>
      </c>
      <c r="B89" s="8" t="s">
        <v>144</v>
      </c>
      <c r="C89" s="8" t="s">
        <v>156</v>
      </c>
      <c r="D89" s="7" t="s">
        <v>146</v>
      </c>
      <c r="E89" s="8" t="s">
        <v>51</v>
      </c>
      <c r="F89" s="7">
        <v>700</v>
      </c>
      <c r="G89" s="7">
        <v>1100</v>
      </c>
      <c r="H89" s="7">
        <f>(F89+G89)/2</f>
        <v>900</v>
      </c>
      <c r="I89" s="9">
        <v>2</v>
      </c>
      <c r="J89" s="10" t="s">
        <v>34</v>
      </c>
      <c r="K89" s="8" t="s">
        <v>157</v>
      </c>
      <c r="L89" s="8" t="s">
        <v>38</v>
      </c>
      <c r="M89" s="8"/>
      <c r="N89" s="8"/>
      <c r="O89" s="8" t="s">
        <v>29</v>
      </c>
      <c r="P89" s="11">
        <v>5.6</v>
      </c>
      <c r="Q89" s="11">
        <v>3.3</v>
      </c>
      <c r="R89" s="11">
        <v>6.3</v>
      </c>
      <c r="S89" s="11">
        <f>P89*4</f>
        <v>22.4</v>
      </c>
      <c r="T89" s="11">
        <f>Q89*4</f>
        <v>13.2</v>
      </c>
      <c r="U89" s="11">
        <f>R89*4</f>
        <v>25.2</v>
      </c>
      <c r="V89" s="12">
        <f>(1/3)*3.14*T89^2*(3*(U89/2)-T89)</f>
        <v>4486.3315199999997</v>
      </c>
      <c r="W89" s="12">
        <f>V89/1000</f>
        <v>4.4863315199999994</v>
      </c>
    </row>
    <row r="90" spans="1:23" x14ac:dyDescent="0.25">
      <c r="A90" s="7">
        <v>89</v>
      </c>
      <c r="B90" s="8" t="s">
        <v>144</v>
      </c>
      <c r="C90" s="8" t="s">
        <v>158</v>
      </c>
      <c r="D90" s="7" t="s">
        <v>146</v>
      </c>
      <c r="E90" s="8" t="s">
        <v>51</v>
      </c>
      <c r="F90" s="7">
        <v>700</v>
      </c>
      <c r="G90" s="7">
        <v>1100</v>
      </c>
      <c r="H90" s="7">
        <f>(F90+G90)/2</f>
        <v>900</v>
      </c>
      <c r="I90" s="9">
        <v>2</v>
      </c>
      <c r="J90" s="10" t="s">
        <v>34</v>
      </c>
      <c r="K90" s="8" t="s">
        <v>108</v>
      </c>
      <c r="L90" s="8" t="s">
        <v>109</v>
      </c>
      <c r="M90" s="8"/>
      <c r="N90" s="8"/>
      <c r="O90" s="8" t="s">
        <v>44</v>
      </c>
      <c r="P90" s="11">
        <v>6.4</v>
      </c>
      <c r="Q90" s="11">
        <v>3.3</v>
      </c>
      <c r="R90" s="11">
        <v>6.4</v>
      </c>
      <c r="S90" s="11">
        <f>P90*4</f>
        <v>25.6</v>
      </c>
      <c r="T90" s="11">
        <f>Q90*4</f>
        <v>13.2</v>
      </c>
      <c r="U90" s="11">
        <f>R90*4</f>
        <v>25.6</v>
      </c>
      <c r="V90" s="12">
        <f>(1/3)*3.14*T90^2*(3*(U90/2)-T90)</f>
        <v>4595.7542400000011</v>
      </c>
      <c r="W90" s="12">
        <f>V90/1000</f>
        <v>4.5957542400000015</v>
      </c>
    </row>
    <row r="91" spans="1:23" x14ac:dyDescent="0.25">
      <c r="A91" s="7">
        <v>90</v>
      </c>
      <c r="B91" s="8" t="s">
        <v>144</v>
      </c>
      <c r="C91" s="8" t="s">
        <v>159</v>
      </c>
      <c r="D91" s="7" t="s">
        <v>146</v>
      </c>
      <c r="E91" s="8" t="s">
        <v>51</v>
      </c>
      <c r="F91" s="7">
        <v>700</v>
      </c>
      <c r="G91" s="7">
        <v>1100</v>
      </c>
      <c r="H91" s="7">
        <f>(F91+G91)/2</f>
        <v>900</v>
      </c>
      <c r="I91" s="9">
        <v>5</v>
      </c>
      <c r="J91" s="10" t="s">
        <v>32</v>
      </c>
      <c r="K91" s="8" t="s">
        <v>157</v>
      </c>
      <c r="L91" s="8" t="s">
        <v>38</v>
      </c>
      <c r="M91" s="8"/>
      <c r="N91" s="8"/>
      <c r="O91" s="8" t="s">
        <v>44</v>
      </c>
      <c r="P91" s="11">
        <v>7.6</v>
      </c>
      <c r="Q91" s="11">
        <v>8.6</v>
      </c>
      <c r="R91" s="11">
        <v>10.3</v>
      </c>
      <c r="S91" s="11">
        <f>P91*4</f>
        <v>30.4</v>
      </c>
      <c r="T91" s="11">
        <f>Q91*4</f>
        <v>34.4</v>
      </c>
      <c r="U91" s="11">
        <f>R91*4</f>
        <v>41.2</v>
      </c>
      <c r="V91" s="12">
        <f>(4/3)*3.14*(U91/2)^3</f>
        <v>36599.069653333339</v>
      </c>
      <c r="W91" s="12">
        <f>V91/1000</f>
        <v>36.599069653333338</v>
      </c>
    </row>
    <row r="92" spans="1:23" x14ac:dyDescent="0.25">
      <c r="A92" s="7">
        <v>91</v>
      </c>
      <c r="B92" s="8" t="s">
        <v>144</v>
      </c>
      <c r="C92" s="8" t="s">
        <v>160</v>
      </c>
      <c r="D92" s="7" t="s">
        <v>146</v>
      </c>
      <c r="E92" s="8" t="s">
        <v>51</v>
      </c>
      <c r="F92" s="7">
        <v>700</v>
      </c>
      <c r="G92" s="7">
        <v>1100</v>
      </c>
      <c r="H92" s="7">
        <f>(F92+G92)/2</f>
        <v>900</v>
      </c>
      <c r="I92" s="9">
        <v>5</v>
      </c>
      <c r="J92" s="10" t="s">
        <v>65</v>
      </c>
      <c r="K92" s="8" t="s">
        <v>27</v>
      </c>
      <c r="L92" s="8" t="s">
        <v>28</v>
      </c>
      <c r="M92" s="8"/>
      <c r="N92" s="8"/>
      <c r="O92" s="8" t="s">
        <v>44</v>
      </c>
      <c r="P92" s="11">
        <v>2.9</v>
      </c>
      <c r="Q92" s="11">
        <v>3.2</v>
      </c>
      <c r="R92" s="11">
        <v>3.6</v>
      </c>
      <c r="S92" s="11">
        <f>P92*4</f>
        <v>11.6</v>
      </c>
      <c r="T92" s="11">
        <f>Q92*4</f>
        <v>12.8</v>
      </c>
      <c r="U92" s="11">
        <f>R92*4</f>
        <v>14.4</v>
      </c>
      <c r="V92" s="12">
        <f>(4/3)*3.14*(U92/2)^3</f>
        <v>1562.6649600000001</v>
      </c>
      <c r="W92" s="12">
        <f>V92/1000</f>
        <v>1.56266496</v>
      </c>
    </row>
    <row r="93" spans="1:23" x14ac:dyDescent="0.25">
      <c r="A93" s="7">
        <v>92</v>
      </c>
      <c r="B93" s="8" t="s">
        <v>144</v>
      </c>
      <c r="C93" s="8" t="s">
        <v>161</v>
      </c>
      <c r="D93" s="7" t="s">
        <v>146</v>
      </c>
      <c r="E93" s="8" t="s">
        <v>51</v>
      </c>
      <c r="F93" s="7">
        <v>700</v>
      </c>
      <c r="G93" s="7">
        <v>1100</v>
      </c>
      <c r="H93" s="7">
        <f>(F93+G93)/2</f>
        <v>900</v>
      </c>
      <c r="I93" s="9">
        <v>2</v>
      </c>
      <c r="J93" s="10" t="s">
        <v>34</v>
      </c>
      <c r="K93" s="8" t="s">
        <v>162</v>
      </c>
      <c r="L93" s="8" t="s">
        <v>138</v>
      </c>
      <c r="M93" s="8"/>
      <c r="N93" s="8"/>
      <c r="O93" s="8" t="s">
        <v>44</v>
      </c>
      <c r="P93" s="11">
        <v>7.2</v>
      </c>
      <c r="Q93" s="11">
        <v>3.3</v>
      </c>
      <c r="R93" s="11">
        <v>7.2</v>
      </c>
      <c r="S93" s="11">
        <f>P93*4</f>
        <v>28.8</v>
      </c>
      <c r="T93" s="11">
        <f>Q93*4</f>
        <v>13.2</v>
      </c>
      <c r="U93" s="11">
        <f>R93*4</f>
        <v>28.8</v>
      </c>
      <c r="V93" s="12">
        <f>(1/3)*3.14*T93^2*(3*(U93/2)-T93)</f>
        <v>5471.1360000000004</v>
      </c>
      <c r="W93" s="12">
        <f>V93/1000</f>
        <v>5.4711360000000004</v>
      </c>
    </row>
    <row r="94" spans="1:23" x14ac:dyDescent="0.25">
      <c r="A94" s="7">
        <v>93</v>
      </c>
      <c r="B94" s="8" t="s">
        <v>144</v>
      </c>
      <c r="C94" s="8" t="s">
        <v>163</v>
      </c>
      <c r="D94" s="7" t="s">
        <v>146</v>
      </c>
      <c r="E94" s="8" t="s">
        <v>51</v>
      </c>
      <c r="F94" s="7">
        <v>700</v>
      </c>
      <c r="G94" s="7">
        <v>1100</v>
      </c>
      <c r="H94" s="7">
        <f>(F94+G94)/2</f>
        <v>900</v>
      </c>
      <c r="I94" s="9">
        <v>4</v>
      </c>
      <c r="J94" s="10" t="s">
        <v>26</v>
      </c>
      <c r="K94" s="8" t="s">
        <v>108</v>
      </c>
      <c r="L94" s="8" t="s">
        <v>109</v>
      </c>
      <c r="M94" s="8"/>
      <c r="N94" s="8"/>
      <c r="O94" s="8" t="s">
        <v>44</v>
      </c>
      <c r="P94" s="11">
        <v>5.0999999999999996</v>
      </c>
      <c r="Q94" s="11">
        <v>2.8</v>
      </c>
      <c r="R94" s="11">
        <v>5.0999999999999996</v>
      </c>
      <c r="S94" s="11">
        <f>P94*4</f>
        <v>20.399999999999999</v>
      </c>
      <c r="T94" s="11">
        <f>Q94*4</f>
        <v>11.2</v>
      </c>
      <c r="U94" s="11">
        <f>R94*4</f>
        <v>20.399999999999999</v>
      </c>
      <c r="V94" s="12">
        <f>(2/3)*3.14*(U94/2)^3</f>
        <v>2221.4620799999998</v>
      </c>
      <c r="W94" s="12">
        <f>V94/1000</f>
        <v>2.2214620799999998</v>
      </c>
    </row>
    <row r="95" spans="1:23" x14ac:dyDescent="0.25">
      <c r="A95" s="7">
        <v>94</v>
      </c>
      <c r="B95" s="8" t="s">
        <v>144</v>
      </c>
      <c r="C95" s="8" t="s">
        <v>164</v>
      </c>
      <c r="D95" s="7" t="s">
        <v>146</v>
      </c>
      <c r="E95" s="8" t="s">
        <v>51</v>
      </c>
      <c r="F95" s="7">
        <v>700</v>
      </c>
      <c r="G95" s="7">
        <v>1100</v>
      </c>
      <c r="H95" s="7">
        <f>(F95+G95)/2</f>
        <v>900</v>
      </c>
      <c r="I95" s="9">
        <v>2</v>
      </c>
      <c r="J95" s="10" t="s">
        <v>34</v>
      </c>
      <c r="K95" s="8" t="s">
        <v>137</v>
      </c>
      <c r="L95" s="8" t="s">
        <v>138</v>
      </c>
      <c r="M95" s="8"/>
      <c r="N95" s="8"/>
      <c r="O95" s="8" t="s">
        <v>29</v>
      </c>
      <c r="P95" s="11">
        <v>7</v>
      </c>
      <c r="Q95" s="11">
        <v>3.2</v>
      </c>
      <c r="R95" s="11">
        <v>7</v>
      </c>
      <c r="S95" s="11">
        <f>P95*4</f>
        <v>28</v>
      </c>
      <c r="T95" s="11">
        <f>Q95*4</f>
        <v>12.8</v>
      </c>
      <c r="U95" s="11">
        <f>R95*4</f>
        <v>28</v>
      </c>
      <c r="V95" s="12">
        <f>(1/3)*3.14*T95^2*(3*(U95/2)-T95)</f>
        <v>5007.3873066666665</v>
      </c>
      <c r="W95" s="12">
        <f>V95/1000</f>
        <v>5.0073873066666668</v>
      </c>
    </row>
    <row r="96" spans="1:23" x14ac:dyDescent="0.25">
      <c r="A96" s="7">
        <v>95</v>
      </c>
      <c r="B96" s="8" t="s">
        <v>144</v>
      </c>
      <c r="C96" s="8" t="s">
        <v>165</v>
      </c>
      <c r="D96" s="7" t="s">
        <v>146</v>
      </c>
      <c r="E96" s="8" t="s">
        <v>51</v>
      </c>
      <c r="F96" s="7">
        <v>700</v>
      </c>
      <c r="G96" s="7">
        <v>1100</v>
      </c>
      <c r="H96" s="7">
        <f>(F96+G96)/2</f>
        <v>900</v>
      </c>
      <c r="I96" s="9">
        <v>4</v>
      </c>
      <c r="J96" s="10" t="s">
        <v>26</v>
      </c>
      <c r="K96" s="8" t="s">
        <v>108</v>
      </c>
      <c r="L96" s="8" t="s">
        <v>109</v>
      </c>
      <c r="M96" s="8"/>
      <c r="N96" s="8"/>
      <c r="O96" s="8" t="s">
        <v>29</v>
      </c>
      <c r="P96" s="11">
        <v>5.7</v>
      </c>
      <c r="Q96" s="11">
        <v>3.4</v>
      </c>
      <c r="R96" s="11">
        <v>5.7</v>
      </c>
      <c r="S96" s="11">
        <f>P96*4</f>
        <v>22.8</v>
      </c>
      <c r="T96" s="11">
        <f>Q96*4</f>
        <v>13.6</v>
      </c>
      <c r="U96" s="11">
        <f>R96*4</f>
        <v>22.8</v>
      </c>
      <c r="V96" s="12">
        <f>(2/3)*3.14*(U96/2)^3</f>
        <v>3101.36544</v>
      </c>
      <c r="W96" s="12">
        <f>V96/1000</f>
        <v>3.1013654399999999</v>
      </c>
    </row>
    <row r="97" spans="1:23" x14ac:dyDescent="0.25">
      <c r="A97" s="7">
        <v>96</v>
      </c>
      <c r="B97" s="8" t="s">
        <v>144</v>
      </c>
      <c r="C97" s="8" t="s">
        <v>166</v>
      </c>
      <c r="D97" s="7" t="s">
        <v>146</v>
      </c>
      <c r="E97" s="8" t="s">
        <v>51</v>
      </c>
      <c r="F97" s="7">
        <v>700</v>
      </c>
      <c r="G97" s="7">
        <v>1100</v>
      </c>
      <c r="H97" s="7">
        <f>(F97+G97)/2</f>
        <v>900</v>
      </c>
      <c r="I97" s="9">
        <v>2</v>
      </c>
      <c r="J97" s="10" t="s">
        <v>26</v>
      </c>
      <c r="K97" s="8" t="s">
        <v>27</v>
      </c>
      <c r="L97" s="8" t="s">
        <v>28</v>
      </c>
      <c r="M97" s="8"/>
      <c r="N97" s="8"/>
      <c r="O97" s="8" t="s">
        <v>29</v>
      </c>
      <c r="P97" s="11">
        <v>3.8</v>
      </c>
      <c r="Q97" s="11">
        <v>1.9</v>
      </c>
      <c r="R97" s="11">
        <v>3.8</v>
      </c>
      <c r="S97" s="11">
        <f>P97*4</f>
        <v>15.2</v>
      </c>
      <c r="T97" s="11">
        <f>Q97*4</f>
        <v>7.6</v>
      </c>
      <c r="U97" s="11">
        <f>R97*4</f>
        <v>15.2</v>
      </c>
      <c r="V97" s="12">
        <f>(1/3)*3.14*T97^2*(3*(U97/2)-T97)</f>
        <v>918.92309333333321</v>
      </c>
      <c r="W97" s="12">
        <f>V97/1000</f>
        <v>0.91892309333333322</v>
      </c>
    </row>
    <row r="98" spans="1:23" x14ac:dyDescent="0.25">
      <c r="A98" s="7">
        <v>97</v>
      </c>
      <c r="B98" s="8" t="s">
        <v>144</v>
      </c>
      <c r="C98" s="8" t="s">
        <v>167</v>
      </c>
      <c r="D98" s="7" t="s">
        <v>146</v>
      </c>
      <c r="E98" s="8" t="s">
        <v>51</v>
      </c>
      <c r="F98" s="7">
        <v>700</v>
      </c>
      <c r="G98" s="7">
        <v>1100</v>
      </c>
      <c r="H98" s="7">
        <f>(F98+G98)/2</f>
        <v>900</v>
      </c>
      <c r="I98" s="9">
        <v>2</v>
      </c>
      <c r="J98" s="10" t="s">
        <v>65</v>
      </c>
      <c r="K98" s="8" t="s">
        <v>27</v>
      </c>
      <c r="L98" s="8" t="s">
        <v>28</v>
      </c>
      <c r="M98" s="8"/>
      <c r="N98" s="8"/>
      <c r="O98" s="8" t="s">
        <v>29</v>
      </c>
      <c r="P98" s="11">
        <v>3.3</v>
      </c>
      <c r="Q98" s="11">
        <v>1.5</v>
      </c>
      <c r="R98" s="11">
        <v>3.3</v>
      </c>
      <c r="S98" s="11">
        <f>P98*4</f>
        <v>13.2</v>
      </c>
      <c r="T98" s="11">
        <f>Q98*4</f>
        <v>6</v>
      </c>
      <c r="U98" s="11">
        <f>R98*4</f>
        <v>13.2</v>
      </c>
      <c r="V98" s="12">
        <f>(1/3)*3.14*T98^2*(3*(U98/2)-T98)</f>
        <v>519.98399999999992</v>
      </c>
      <c r="W98" s="12">
        <f>V98/1000</f>
        <v>0.51998399999999989</v>
      </c>
    </row>
    <row r="99" spans="1:23" x14ac:dyDescent="0.25">
      <c r="A99" s="7">
        <v>98</v>
      </c>
      <c r="B99" s="8" t="s">
        <v>144</v>
      </c>
      <c r="C99" s="8" t="s">
        <v>168</v>
      </c>
      <c r="D99" s="7" t="s">
        <v>146</v>
      </c>
      <c r="E99" s="8" t="s">
        <v>51</v>
      </c>
      <c r="F99" s="7">
        <v>700</v>
      </c>
      <c r="G99" s="7">
        <v>1100</v>
      </c>
      <c r="H99" s="7">
        <f>(F99+G99)/2</f>
        <v>900</v>
      </c>
      <c r="I99" s="9">
        <v>4</v>
      </c>
      <c r="J99" s="10" t="s">
        <v>65</v>
      </c>
      <c r="K99" s="8" t="s">
        <v>108</v>
      </c>
      <c r="L99" s="8" t="s">
        <v>109</v>
      </c>
      <c r="M99" s="8"/>
      <c r="N99" s="8"/>
      <c r="O99" s="8" t="s">
        <v>29</v>
      </c>
      <c r="P99" s="11">
        <v>3.2</v>
      </c>
      <c r="Q99" s="11">
        <v>2</v>
      </c>
      <c r="R99" s="11">
        <v>3.2</v>
      </c>
      <c r="S99" s="11">
        <f>P99*4</f>
        <v>12.8</v>
      </c>
      <c r="T99" s="11">
        <f>Q99*4</f>
        <v>8</v>
      </c>
      <c r="U99" s="11">
        <f>R99*4</f>
        <v>12.8</v>
      </c>
      <c r="V99" s="12">
        <f>(2/3)*3.14*(U99/2)^3</f>
        <v>548.75477333333345</v>
      </c>
      <c r="W99" s="12">
        <f>V99/1000</f>
        <v>0.54875477333333345</v>
      </c>
    </row>
    <row r="100" spans="1:23" x14ac:dyDescent="0.25">
      <c r="A100" s="7">
        <v>99</v>
      </c>
      <c r="B100" s="8" t="s">
        <v>144</v>
      </c>
      <c r="C100" s="8" t="s">
        <v>169</v>
      </c>
      <c r="D100" s="7" t="s">
        <v>146</v>
      </c>
      <c r="E100" s="8" t="s">
        <v>51</v>
      </c>
      <c r="F100" s="7">
        <v>700</v>
      </c>
      <c r="G100" s="7">
        <v>1100</v>
      </c>
      <c r="H100" s="7">
        <f>(F100+G100)/2</f>
        <v>900</v>
      </c>
      <c r="I100" s="9">
        <v>3</v>
      </c>
      <c r="J100" s="10" t="s">
        <v>26</v>
      </c>
      <c r="K100" s="8" t="s">
        <v>27</v>
      </c>
      <c r="L100" s="8" t="s">
        <v>28</v>
      </c>
      <c r="M100" s="8"/>
      <c r="N100" s="8"/>
      <c r="O100" s="8" t="s">
        <v>29</v>
      </c>
      <c r="P100" s="11">
        <v>3.6</v>
      </c>
      <c r="Q100" s="11">
        <v>2.5</v>
      </c>
      <c r="R100" s="11">
        <v>4.4000000000000004</v>
      </c>
      <c r="S100" s="11">
        <f>P100*4</f>
        <v>14.4</v>
      </c>
      <c r="T100" s="11">
        <f>Q100*4</f>
        <v>10</v>
      </c>
      <c r="U100" s="11">
        <f>R100*4</f>
        <v>17.600000000000001</v>
      </c>
      <c r="V100" s="12">
        <f>4/3*3.14*U100^2*T100</f>
        <v>12968.618666666669</v>
      </c>
      <c r="W100" s="12">
        <f>V100/1000</f>
        <v>12.96861866666667</v>
      </c>
    </row>
    <row r="101" spans="1:23" x14ac:dyDescent="0.25">
      <c r="A101" s="7">
        <v>100</v>
      </c>
      <c r="B101" s="8" t="s">
        <v>144</v>
      </c>
      <c r="C101" s="8" t="s">
        <v>170</v>
      </c>
      <c r="D101" s="7" t="s">
        <v>146</v>
      </c>
      <c r="E101" s="8" t="s">
        <v>51</v>
      </c>
      <c r="F101" s="7">
        <v>700</v>
      </c>
      <c r="G101" s="7">
        <v>1100</v>
      </c>
      <c r="H101" s="7">
        <f>(F101+G101)/2</f>
        <v>900</v>
      </c>
      <c r="I101" s="9">
        <v>1</v>
      </c>
      <c r="J101" s="10" t="s">
        <v>26</v>
      </c>
      <c r="K101" s="8" t="s">
        <v>27</v>
      </c>
      <c r="L101" s="8" t="s">
        <v>28</v>
      </c>
      <c r="M101" s="8"/>
      <c r="N101" s="8"/>
      <c r="O101" s="8" t="s">
        <v>29</v>
      </c>
      <c r="P101" s="11">
        <v>5.8</v>
      </c>
      <c r="Q101" s="11">
        <v>1.8</v>
      </c>
      <c r="R101" s="11">
        <v>5.8</v>
      </c>
      <c r="S101" s="11">
        <f>P101*4</f>
        <v>23.2</v>
      </c>
      <c r="T101" s="11">
        <f>Q101*4</f>
        <v>7.2</v>
      </c>
      <c r="U101" s="11">
        <f>R101*4</f>
        <v>23.2</v>
      </c>
      <c r="V101" s="12">
        <f>(1/3)*3.14*T101^2*(3*(U101/2)-T101)</f>
        <v>1497.5539199999998</v>
      </c>
      <c r="W101" s="12">
        <f>V101/1000</f>
        <v>1.4975539199999999</v>
      </c>
    </row>
    <row r="102" spans="1:23" x14ac:dyDescent="0.25">
      <c r="A102" s="7">
        <v>101</v>
      </c>
      <c r="B102" s="8" t="s">
        <v>144</v>
      </c>
      <c r="C102" s="8" t="s">
        <v>171</v>
      </c>
      <c r="D102" s="7" t="s">
        <v>146</v>
      </c>
      <c r="E102" s="8" t="s">
        <v>51</v>
      </c>
      <c r="F102" s="7">
        <v>700</v>
      </c>
      <c r="G102" s="7">
        <v>1100</v>
      </c>
      <c r="H102" s="7">
        <f>(F102+G102)/2</f>
        <v>900</v>
      </c>
      <c r="I102" s="9">
        <v>2</v>
      </c>
      <c r="J102" s="10" t="s">
        <v>26</v>
      </c>
      <c r="K102" s="8" t="s">
        <v>27</v>
      </c>
      <c r="L102" s="8" t="s">
        <v>28</v>
      </c>
      <c r="M102" s="8"/>
      <c r="N102" s="8"/>
      <c r="O102" s="8" t="s">
        <v>29</v>
      </c>
      <c r="P102" s="11">
        <v>4.3</v>
      </c>
      <c r="Q102" s="11">
        <v>1.7</v>
      </c>
      <c r="R102" s="11">
        <v>4.3</v>
      </c>
      <c r="S102" s="11">
        <f>P102*4</f>
        <v>17.2</v>
      </c>
      <c r="T102" s="11">
        <f>Q102*4</f>
        <v>6.8</v>
      </c>
      <c r="U102" s="11">
        <f>R102*4</f>
        <v>17.2</v>
      </c>
      <c r="V102" s="12">
        <f>(1/3)*3.14*T102^2*(3*(U102/2)-T102)</f>
        <v>919.55946666666637</v>
      </c>
      <c r="W102" s="12">
        <f>V102/1000</f>
        <v>0.91955946666666633</v>
      </c>
    </row>
    <row r="103" spans="1:23" x14ac:dyDescent="0.25">
      <c r="A103" s="7">
        <v>102</v>
      </c>
      <c r="B103" s="8" t="s">
        <v>144</v>
      </c>
      <c r="C103" s="8" t="s">
        <v>172</v>
      </c>
      <c r="D103" s="7" t="s">
        <v>146</v>
      </c>
      <c r="E103" s="8" t="s">
        <v>51</v>
      </c>
      <c r="F103" s="7">
        <v>700</v>
      </c>
      <c r="G103" s="7">
        <v>1100</v>
      </c>
      <c r="H103" s="7">
        <f>(F103+G103)/2</f>
        <v>900</v>
      </c>
      <c r="I103" s="9">
        <v>2</v>
      </c>
      <c r="J103" s="10" t="s">
        <v>26</v>
      </c>
      <c r="K103" s="8" t="s">
        <v>27</v>
      </c>
      <c r="L103" s="8" t="s">
        <v>28</v>
      </c>
      <c r="M103" s="8"/>
      <c r="N103" s="8"/>
      <c r="O103" s="8" t="s">
        <v>29</v>
      </c>
      <c r="P103" s="11">
        <v>4.8</v>
      </c>
      <c r="Q103" s="11">
        <v>2.4</v>
      </c>
      <c r="R103" s="11">
        <v>4.8</v>
      </c>
      <c r="S103" s="11">
        <f>P103*4</f>
        <v>19.2</v>
      </c>
      <c r="T103" s="11">
        <f>Q103*4</f>
        <v>9.6</v>
      </c>
      <c r="U103" s="11">
        <f>R103*4</f>
        <v>19.2</v>
      </c>
      <c r="V103" s="12">
        <f>(1/3)*3.14*T103^2*(3*(U103/2)-T103)</f>
        <v>1852.0473599999993</v>
      </c>
      <c r="W103" s="12">
        <f>V103/1000</f>
        <v>1.8520473599999994</v>
      </c>
    </row>
    <row r="104" spans="1:23" x14ac:dyDescent="0.25">
      <c r="A104" s="7">
        <v>103</v>
      </c>
      <c r="B104" s="8" t="s">
        <v>144</v>
      </c>
      <c r="C104" s="8" t="s">
        <v>173</v>
      </c>
      <c r="D104" s="7" t="s">
        <v>146</v>
      </c>
      <c r="E104" s="8" t="s">
        <v>51</v>
      </c>
      <c r="F104" s="7">
        <v>700</v>
      </c>
      <c r="G104" s="7">
        <v>1100</v>
      </c>
      <c r="H104" s="7">
        <f>(F104+G104)/2</f>
        <v>900</v>
      </c>
      <c r="I104" s="9">
        <v>4</v>
      </c>
      <c r="J104" s="10" t="s">
        <v>65</v>
      </c>
      <c r="K104" s="8" t="s">
        <v>42</v>
      </c>
      <c r="L104" s="8" t="s">
        <v>43</v>
      </c>
      <c r="M104" s="8"/>
      <c r="N104" s="8"/>
      <c r="O104" s="8" t="s">
        <v>29</v>
      </c>
      <c r="P104" s="11">
        <v>3.3</v>
      </c>
      <c r="Q104" s="11">
        <v>2.1</v>
      </c>
      <c r="R104" s="11">
        <v>3.3</v>
      </c>
      <c r="S104" s="11">
        <f>P104*4</f>
        <v>13.2</v>
      </c>
      <c r="T104" s="11">
        <f>Q104*4</f>
        <v>8.4</v>
      </c>
      <c r="U104" s="11">
        <f>R104*4</f>
        <v>13.2</v>
      </c>
      <c r="V104" s="12">
        <f>(2/3)*3.14*(U104/2)^3</f>
        <v>601.82495999999992</v>
      </c>
      <c r="W104" s="12">
        <f>V104/1000</f>
        <v>0.60182495999999996</v>
      </c>
    </row>
    <row r="105" spans="1:23" x14ac:dyDescent="0.25">
      <c r="A105" s="7">
        <v>104</v>
      </c>
      <c r="B105" s="8" t="s">
        <v>144</v>
      </c>
      <c r="C105" s="8" t="s">
        <v>174</v>
      </c>
      <c r="D105" s="7" t="s">
        <v>146</v>
      </c>
      <c r="E105" s="8" t="s">
        <v>51</v>
      </c>
      <c r="F105" s="7">
        <v>700</v>
      </c>
      <c r="G105" s="7">
        <v>1100</v>
      </c>
      <c r="H105" s="7">
        <f>(F105+G105)/2</f>
        <v>900</v>
      </c>
      <c r="I105" s="9">
        <v>2</v>
      </c>
      <c r="J105" s="10" t="s">
        <v>26</v>
      </c>
      <c r="K105" s="8" t="s">
        <v>108</v>
      </c>
      <c r="L105" s="8" t="s">
        <v>109</v>
      </c>
      <c r="M105" s="8"/>
      <c r="N105" s="8"/>
      <c r="O105" s="8" t="s">
        <v>29</v>
      </c>
      <c r="P105" s="11">
        <v>4.3</v>
      </c>
      <c r="Q105" s="11">
        <v>2.2000000000000002</v>
      </c>
      <c r="R105" s="11">
        <v>4.3</v>
      </c>
      <c r="S105" s="11">
        <f>P105*4</f>
        <v>17.2</v>
      </c>
      <c r="T105" s="11">
        <f>Q105*4</f>
        <v>8.8000000000000007</v>
      </c>
      <c r="U105" s="11">
        <f>R105*4</f>
        <v>17.2</v>
      </c>
      <c r="V105" s="12">
        <f>(1/3)*3.14*T105^2*(3*(U105/2)-T105)</f>
        <v>1377.9157333333333</v>
      </c>
      <c r="W105" s="12">
        <f>V105/1000</f>
        <v>1.3779157333333332</v>
      </c>
    </row>
    <row r="106" spans="1:23" x14ac:dyDescent="0.25">
      <c r="A106" s="7">
        <v>105</v>
      </c>
      <c r="B106" s="8" t="s">
        <v>144</v>
      </c>
      <c r="C106" s="8" t="s">
        <v>175</v>
      </c>
      <c r="D106" s="7" t="s">
        <v>146</v>
      </c>
      <c r="E106" s="8" t="s">
        <v>51</v>
      </c>
      <c r="F106" s="7">
        <v>700</v>
      </c>
      <c r="G106" s="7">
        <v>1100</v>
      </c>
      <c r="H106" s="7">
        <f>(F106+G106)/2</f>
        <v>900</v>
      </c>
      <c r="I106" s="9">
        <v>4</v>
      </c>
      <c r="J106" s="10" t="s">
        <v>26</v>
      </c>
      <c r="K106" s="8" t="s">
        <v>108</v>
      </c>
      <c r="L106" s="8" t="s">
        <v>109</v>
      </c>
      <c r="M106" s="8"/>
      <c r="N106" s="8"/>
      <c r="O106" s="8" t="s">
        <v>29</v>
      </c>
      <c r="P106" s="11">
        <v>4.9000000000000004</v>
      </c>
      <c r="Q106" s="11">
        <v>3.2</v>
      </c>
      <c r="R106" s="11">
        <v>4.9000000000000004</v>
      </c>
      <c r="S106" s="11">
        <f>P106*4</f>
        <v>19.600000000000001</v>
      </c>
      <c r="T106" s="11">
        <f>Q106*4</f>
        <v>12.8</v>
      </c>
      <c r="U106" s="11">
        <f>R106*4</f>
        <v>19.600000000000001</v>
      </c>
      <c r="V106" s="12">
        <f>(2/3)*3.14*(U106/2)^3</f>
        <v>1970.2285866666671</v>
      </c>
      <c r="W106" s="12">
        <f>V106/1000</f>
        <v>1.9702285866666671</v>
      </c>
    </row>
    <row r="107" spans="1:23" x14ac:dyDescent="0.25">
      <c r="A107" s="7">
        <v>106</v>
      </c>
      <c r="B107" s="8" t="s">
        <v>144</v>
      </c>
      <c r="C107" s="8" t="s">
        <v>176</v>
      </c>
      <c r="D107" s="7" t="s">
        <v>146</v>
      </c>
      <c r="E107" s="8" t="s">
        <v>51</v>
      </c>
      <c r="F107" s="7">
        <v>700</v>
      </c>
      <c r="G107" s="7">
        <v>1100</v>
      </c>
      <c r="H107" s="7">
        <f>(F107+G107)/2</f>
        <v>900</v>
      </c>
      <c r="I107" s="9">
        <v>4</v>
      </c>
      <c r="J107" s="10" t="s">
        <v>26</v>
      </c>
      <c r="K107" s="8" t="s">
        <v>42</v>
      </c>
      <c r="L107" s="8" t="s">
        <v>43</v>
      </c>
      <c r="M107" s="8"/>
      <c r="N107" s="8"/>
      <c r="O107" s="8" t="s">
        <v>29</v>
      </c>
      <c r="P107" s="11">
        <v>4.0999999999999996</v>
      </c>
      <c r="Q107" s="11">
        <v>2.5</v>
      </c>
      <c r="R107" s="11">
        <v>4.0999999999999996</v>
      </c>
      <c r="S107" s="11">
        <f>P107*4</f>
        <v>16.399999999999999</v>
      </c>
      <c r="T107" s="11">
        <f>Q107*4</f>
        <v>10</v>
      </c>
      <c r="U107" s="11">
        <f>R107*4</f>
        <v>16.399999999999999</v>
      </c>
      <c r="V107" s="12">
        <f>(2/3)*3.14*(U107/2)^3</f>
        <v>1154.1970133333332</v>
      </c>
      <c r="W107" s="12">
        <f>V107/1000</f>
        <v>1.1541970133333332</v>
      </c>
    </row>
    <row r="108" spans="1:23" x14ac:dyDescent="0.25">
      <c r="A108" s="7">
        <v>107</v>
      </c>
      <c r="B108" s="8" t="s">
        <v>144</v>
      </c>
      <c r="C108" s="8" t="s">
        <v>177</v>
      </c>
      <c r="D108" s="7" t="s">
        <v>146</v>
      </c>
      <c r="E108" s="8" t="s">
        <v>51</v>
      </c>
      <c r="F108" s="7">
        <v>700</v>
      </c>
      <c r="G108" s="7">
        <v>1100</v>
      </c>
      <c r="H108" s="7">
        <f>(F108+G108)/2</f>
        <v>900</v>
      </c>
      <c r="I108" s="9">
        <v>2</v>
      </c>
      <c r="J108" s="10" t="s">
        <v>34</v>
      </c>
      <c r="K108" s="8" t="s">
        <v>68</v>
      </c>
      <c r="L108" s="8" t="s">
        <v>28</v>
      </c>
      <c r="M108" s="8"/>
      <c r="N108" s="8"/>
      <c r="O108" s="8" t="s">
        <v>29</v>
      </c>
      <c r="P108" s="11">
        <v>6.5</v>
      </c>
      <c r="Q108" s="11">
        <v>3.8</v>
      </c>
      <c r="R108" s="11">
        <v>6.5</v>
      </c>
      <c r="S108" s="11">
        <f>P108*4</f>
        <v>26</v>
      </c>
      <c r="T108" s="11">
        <f>Q108*4</f>
        <v>15.2</v>
      </c>
      <c r="U108" s="11">
        <f>R108*4</f>
        <v>26</v>
      </c>
      <c r="V108" s="12">
        <f>(1/3)*3.14*T108^2*(3*(U108/2)-T108)</f>
        <v>5755.3604266666671</v>
      </c>
      <c r="W108" s="12">
        <f>V108/1000</f>
        <v>5.7553604266666669</v>
      </c>
    </row>
    <row r="109" spans="1:23" x14ac:dyDescent="0.25">
      <c r="A109" s="7">
        <v>108</v>
      </c>
      <c r="B109" s="8" t="s">
        <v>144</v>
      </c>
      <c r="C109" s="8" t="s">
        <v>178</v>
      </c>
      <c r="D109" s="7" t="s">
        <v>146</v>
      </c>
      <c r="E109" s="8" t="s">
        <v>51</v>
      </c>
      <c r="F109" s="7">
        <v>700</v>
      </c>
      <c r="G109" s="7">
        <v>1100</v>
      </c>
      <c r="H109" s="7">
        <f>(F109+G109)/2</f>
        <v>900</v>
      </c>
      <c r="I109" s="9">
        <v>2</v>
      </c>
      <c r="J109" s="10" t="s">
        <v>34</v>
      </c>
      <c r="K109" s="8" t="s">
        <v>68</v>
      </c>
      <c r="L109" s="8" t="s">
        <v>28</v>
      </c>
      <c r="M109" s="8"/>
      <c r="N109" s="8"/>
      <c r="O109" s="8" t="s">
        <v>29</v>
      </c>
      <c r="P109" s="11">
        <v>8.1999999999999993</v>
      </c>
      <c r="Q109" s="11">
        <v>2.9</v>
      </c>
      <c r="R109" s="11">
        <v>8.1999999999999993</v>
      </c>
      <c r="S109" s="11">
        <f>P109*4</f>
        <v>32.799999999999997</v>
      </c>
      <c r="T109" s="11">
        <f>Q109*4</f>
        <v>11.6</v>
      </c>
      <c r="U109" s="11">
        <f>R109*4</f>
        <v>32.799999999999997</v>
      </c>
      <c r="V109" s="12">
        <f>(1/3)*3.14*T109^2*(3*(U109/2)-T109)</f>
        <v>5295.5639466666653</v>
      </c>
      <c r="W109" s="12">
        <f>V109/1000</f>
        <v>5.2955639466666655</v>
      </c>
    </row>
    <row r="110" spans="1:23" x14ac:dyDescent="0.25">
      <c r="A110" s="7">
        <v>109</v>
      </c>
      <c r="B110" s="8" t="s">
        <v>179</v>
      </c>
      <c r="C110" s="8" t="s">
        <v>180</v>
      </c>
      <c r="D110" s="7" t="s">
        <v>181</v>
      </c>
      <c r="E110" s="8" t="s">
        <v>182</v>
      </c>
      <c r="F110" s="7">
        <v>-250</v>
      </c>
      <c r="G110" s="7">
        <v>350</v>
      </c>
      <c r="H110" s="7">
        <f>(F110+G110)/2</f>
        <v>50</v>
      </c>
      <c r="I110" s="9">
        <v>4</v>
      </c>
      <c r="J110" s="10" t="s">
        <v>26</v>
      </c>
      <c r="K110" s="8" t="s">
        <v>27</v>
      </c>
      <c r="L110" s="8" t="s">
        <v>28</v>
      </c>
      <c r="M110" s="8" t="s">
        <v>39</v>
      </c>
      <c r="N110" s="8"/>
      <c r="O110" s="8" t="s">
        <v>40</v>
      </c>
      <c r="P110" s="11">
        <v>5.9</v>
      </c>
      <c r="Q110" s="11">
        <v>3.4</v>
      </c>
      <c r="R110" s="11">
        <v>5.9</v>
      </c>
      <c r="S110" s="11">
        <f>P110*4</f>
        <v>23.6</v>
      </c>
      <c r="T110" s="11">
        <f>Q110*4</f>
        <v>13.6</v>
      </c>
      <c r="U110" s="11">
        <f>R110*4</f>
        <v>23.6</v>
      </c>
      <c r="V110" s="12">
        <f>(2/3)*3.14*(U110/2)^3</f>
        <v>3439.4136533333335</v>
      </c>
      <c r="W110" s="12">
        <f>V110/1000</f>
        <v>3.4394136533333337</v>
      </c>
    </row>
    <row r="111" spans="1:23" x14ac:dyDescent="0.25">
      <c r="A111" s="7">
        <v>110</v>
      </c>
      <c r="B111" s="8" t="s">
        <v>179</v>
      </c>
      <c r="C111" s="8" t="s">
        <v>183</v>
      </c>
      <c r="D111" s="7" t="s">
        <v>181</v>
      </c>
      <c r="E111" s="8" t="s">
        <v>182</v>
      </c>
      <c r="F111" s="7">
        <v>-250</v>
      </c>
      <c r="G111" s="7">
        <v>350</v>
      </c>
      <c r="H111" s="7">
        <f>(F111+G111)/2</f>
        <v>50</v>
      </c>
      <c r="I111" s="9">
        <v>2</v>
      </c>
      <c r="J111" s="10" t="s">
        <v>26</v>
      </c>
      <c r="K111" s="8" t="s">
        <v>27</v>
      </c>
      <c r="L111" s="8" t="s">
        <v>28</v>
      </c>
      <c r="M111" s="8" t="s">
        <v>39</v>
      </c>
      <c r="N111" s="8"/>
      <c r="O111" s="8" t="s">
        <v>40</v>
      </c>
      <c r="P111" s="11">
        <v>6.2</v>
      </c>
      <c r="Q111" s="11">
        <v>2.4</v>
      </c>
      <c r="R111" s="11">
        <v>6.2</v>
      </c>
      <c r="S111" s="11">
        <f>P111*4</f>
        <v>24.8</v>
      </c>
      <c r="T111" s="11">
        <f>Q111*4</f>
        <v>9.6</v>
      </c>
      <c r="U111" s="11">
        <f>R111*4</f>
        <v>24.8</v>
      </c>
      <c r="V111" s="12">
        <f>(1/3)*3.14*T111^2*(3*(U111/2)-T111)</f>
        <v>2662.31808</v>
      </c>
      <c r="W111" s="12">
        <f>V111/1000</f>
        <v>2.6623180799999999</v>
      </c>
    </row>
    <row r="112" spans="1:23" x14ac:dyDescent="0.25">
      <c r="A112" s="7">
        <v>111</v>
      </c>
      <c r="B112" s="8" t="s">
        <v>179</v>
      </c>
      <c r="C112" s="8" t="s">
        <v>184</v>
      </c>
      <c r="D112" s="7" t="s">
        <v>181</v>
      </c>
      <c r="E112" s="8" t="s">
        <v>182</v>
      </c>
      <c r="F112" s="7">
        <v>-250</v>
      </c>
      <c r="G112" s="7">
        <v>350</v>
      </c>
      <c r="H112" s="7">
        <f>(F112+G112)/2</f>
        <v>50</v>
      </c>
      <c r="I112" s="9">
        <v>3</v>
      </c>
      <c r="J112" s="10" t="s">
        <v>26</v>
      </c>
      <c r="K112" s="8" t="s">
        <v>27</v>
      </c>
      <c r="L112" s="8" t="s">
        <v>28</v>
      </c>
      <c r="M112" s="8" t="s">
        <v>39</v>
      </c>
      <c r="N112" s="8"/>
      <c r="O112" s="8" t="s">
        <v>40</v>
      </c>
      <c r="P112" s="11">
        <v>4.5999999999999996</v>
      </c>
      <c r="Q112" s="11">
        <v>2.2999999999999998</v>
      </c>
      <c r="R112" s="11">
        <v>5.9</v>
      </c>
      <c r="S112" s="11">
        <f>P112*4</f>
        <v>18.399999999999999</v>
      </c>
      <c r="T112" s="11">
        <f>Q112*4</f>
        <v>9.1999999999999993</v>
      </c>
      <c r="U112" s="11">
        <f>R112*4</f>
        <v>23.6</v>
      </c>
      <c r="V112" s="12">
        <f>4/3*3.14*U112^2*T112</f>
        <v>21452.613973333329</v>
      </c>
      <c r="W112" s="12">
        <f>V112/1000</f>
        <v>21.452613973333328</v>
      </c>
    </row>
    <row r="113" spans="1:23" x14ac:dyDescent="0.25">
      <c r="A113" s="7">
        <v>112</v>
      </c>
      <c r="B113" s="8" t="s">
        <v>179</v>
      </c>
      <c r="C113" s="8" t="s">
        <v>185</v>
      </c>
      <c r="D113" s="7" t="s">
        <v>181</v>
      </c>
      <c r="E113" s="8" t="s">
        <v>182</v>
      </c>
      <c r="F113" s="7">
        <v>-250</v>
      </c>
      <c r="G113" s="7">
        <v>350</v>
      </c>
      <c r="H113" s="7">
        <f>(F113+G113)/2</f>
        <v>50</v>
      </c>
      <c r="I113" s="9">
        <v>2</v>
      </c>
      <c r="J113" s="10" t="s">
        <v>26</v>
      </c>
      <c r="K113" s="8" t="s">
        <v>27</v>
      </c>
      <c r="L113" s="8" t="s">
        <v>28</v>
      </c>
      <c r="M113" s="8" t="s">
        <v>39</v>
      </c>
      <c r="N113" s="8"/>
      <c r="O113" s="8" t="s">
        <v>40</v>
      </c>
      <c r="P113" s="11">
        <v>5.7</v>
      </c>
      <c r="Q113" s="11">
        <v>2.2999999999999998</v>
      </c>
      <c r="R113" s="11">
        <v>5.7</v>
      </c>
      <c r="S113" s="11">
        <f>P113*4</f>
        <v>22.8</v>
      </c>
      <c r="T113" s="11">
        <f>Q113*4</f>
        <v>9.1999999999999993</v>
      </c>
      <c r="U113" s="11">
        <f>R113*4</f>
        <v>22.8</v>
      </c>
      <c r="V113" s="12">
        <f>(1/3)*3.14*T113^2*(3*(U113/2)-T113)</f>
        <v>2214.7466666666664</v>
      </c>
      <c r="W113" s="12">
        <f>V113/1000</f>
        <v>2.2147466666666666</v>
      </c>
    </row>
    <row r="114" spans="1:23" x14ac:dyDescent="0.25">
      <c r="A114" s="7">
        <v>113</v>
      </c>
      <c r="B114" s="8" t="s">
        <v>179</v>
      </c>
      <c r="C114" s="8" t="s">
        <v>186</v>
      </c>
      <c r="D114" s="7" t="s">
        <v>181</v>
      </c>
      <c r="E114" s="8" t="s">
        <v>182</v>
      </c>
      <c r="F114" s="7">
        <v>-250</v>
      </c>
      <c r="G114" s="7">
        <v>350</v>
      </c>
      <c r="H114" s="7">
        <f>(F114+G114)/2</f>
        <v>50</v>
      </c>
      <c r="I114" s="9">
        <v>1</v>
      </c>
      <c r="J114" s="10" t="s">
        <v>34</v>
      </c>
      <c r="K114" s="8" t="s">
        <v>27</v>
      </c>
      <c r="L114" s="8" t="s">
        <v>28</v>
      </c>
      <c r="M114" s="8" t="s">
        <v>39</v>
      </c>
      <c r="N114" s="8"/>
      <c r="O114" s="8" t="s">
        <v>40</v>
      </c>
      <c r="P114" s="11">
        <v>6.5</v>
      </c>
      <c r="Q114" s="11">
        <v>1.7</v>
      </c>
      <c r="R114" s="11">
        <v>6.5</v>
      </c>
      <c r="S114" s="11">
        <f>P114*4</f>
        <v>26</v>
      </c>
      <c r="T114" s="11">
        <f>Q114*4</f>
        <v>6.8</v>
      </c>
      <c r="U114" s="11">
        <f>R114*4</f>
        <v>26</v>
      </c>
      <c r="V114" s="12">
        <f>(1/3)*3.14*T114^2*(3*(U114/2)-T114)</f>
        <v>1558.4113066666666</v>
      </c>
      <c r="W114" s="12">
        <f>V114/1000</f>
        <v>1.5584113066666667</v>
      </c>
    </row>
    <row r="115" spans="1:23" x14ac:dyDescent="0.25">
      <c r="A115" s="7">
        <v>114</v>
      </c>
      <c r="B115" s="8" t="s">
        <v>179</v>
      </c>
      <c r="C115" s="8" t="s">
        <v>187</v>
      </c>
      <c r="D115" s="7" t="s">
        <v>181</v>
      </c>
      <c r="E115" s="8" t="s">
        <v>182</v>
      </c>
      <c r="F115" s="7">
        <v>-250</v>
      </c>
      <c r="G115" s="7">
        <v>350</v>
      </c>
      <c r="H115" s="7">
        <f>(F115+G115)/2</f>
        <v>50</v>
      </c>
      <c r="I115" s="9">
        <v>1</v>
      </c>
      <c r="J115" s="10" t="s">
        <v>34</v>
      </c>
      <c r="K115" s="8" t="s">
        <v>27</v>
      </c>
      <c r="L115" s="8" t="s">
        <v>28</v>
      </c>
      <c r="M115" s="8" t="s">
        <v>39</v>
      </c>
      <c r="N115" s="8"/>
      <c r="O115" s="8" t="s">
        <v>40</v>
      </c>
      <c r="P115" s="11">
        <v>6.7</v>
      </c>
      <c r="Q115" s="11">
        <v>1.7</v>
      </c>
      <c r="R115" s="11">
        <v>6.7</v>
      </c>
      <c r="S115" s="11">
        <f>P115*4</f>
        <v>26.8</v>
      </c>
      <c r="T115" s="11">
        <f>Q115*4</f>
        <v>6.8</v>
      </c>
      <c r="U115" s="11">
        <f>R115*4</f>
        <v>26.8</v>
      </c>
      <c r="V115" s="12">
        <f>(1/3)*3.14*T115^2*(3*(U115/2)-T115)</f>
        <v>1616.4887466666667</v>
      </c>
      <c r="W115" s="12">
        <f>V115/1000</f>
        <v>1.6164887466666666</v>
      </c>
    </row>
    <row r="116" spans="1:23" x14ac:dyDescent="0.25">
      <c r="A116" s="7">
        <v>115</v>
      </c>
      <c r="B116" s="8" t="s">
        <v>179</v>
      </c>
      <c r="C116" s="8" t="s">
        <v>188</v>
      </c>
      <c r="D116" s="7" t="s">
        <v>181</v>
      </c>
      <c r="E116" s="8" t="s">
        <v>182</v>
      </c>
      <c r="F116" s="7">
        <v>-250</v>
      </c>
      <c r="G116" s="7">
        <v>350</v>
      </c>
      <c r="H116" s="7">
        <f>(F116+G116)/2</f>
        <v>50</v>
      </c>
      <c r="I116" s="9">
        <v>3</v>
      </c>
      <c r="J116" s="10" t="s">
        <v>26</v>
      </c>
      <c r="K116" s="8" t="s">
        <v>27</v>
      </c>
      <c r="L116" s="8" t="s">
        <v>28</v>
      </c>
      <c r="M116" s="8" t="s">
        <v>39</v>
      </c>
      <c r="N116" s="8"/>
      <c r="O116" s="8" t="s">
        <v>40</v>
      </c>
      <c r="P116" s="11">
        <v>3.6</v>
      </c>
      <c r="Q116" s="11">
        <v>2.6</v>
      </c>
      <c r="R116" s="11">
        <v>5</v>
      </c>
      <c r="S116" s="11">
        <f>P116*4</f>
        <v>14.4</v>
      </c>
      <c r="T116" s="11">
        <f>Q116*4</f>
        <v>10.4</v>
      </c>
      <c r="U116" s="11">
        <f>R116*4</f>
        <v>20</v>
      </c>
      <c r="V116" s="12">
        <f>4/3*3.14*U116^2*T116</f>
        <v>17416.533333333333</v>
      </c>
      <c r="W116" s="12">
        <f>V116/1000</f>
        <v>17.416533333333334</v>
      </c>
    </row>
    <row r="117" spans="1:23" x14ac:dyDescent="0.25">
      <c r="A117" s="7">
        <v>116</v>
      </c>
      <c r="B117" s="8" t="s">
        <v>179</v>
      </c>
      <c r="C117" s="8" t="s">
        <v>189</v>
      </c>
      <c r="D117" s="7" t="s">
        <v>181</v>
      </c>
      <c r="E117" s="8" t="s">
        <v>182</v>
      </c>
      <c r="F117" s="7">
        <v>-250</v>
      </c>
      <c r="G117" s="7">
        <v>350</v>
      </c>
      <c r="H117" s="7">
        <f>(F117+G117)/2</f>
        <v>50</v>
      </c>
      <c r="I117" s="9">
        <v>3</v>
      </c>
      <c r="J117" s="10" t="s">
        <v>26</v>
      </c>
      <c r="K117" s="8" t="s">
        <v>27</v>
      </c>
      <c r="L117" s="8" t="s">
        <v>28</v>
      </c>
      <c r="M117" s="8" t="s">
        <v>39</v>
      </c>
      <c r="N117" s="8"/>
      <c r="O117" s="8" t="s">
        <v>40</v>
      </c>
      <c r="P117" s="11">
        <v>3.8</v>
      </c>
      <c r="Q117" s="11">
        <v>3.1</v>
      </c>
      <c r="R117" s="11">
        <v>5</v>
      </c>
      <c r="S117" s="11">
        <f>P117*4</f>
        <v>15.2</v>
      </c>
      <c r="T117" s="11">
        <f>Q117*4</f>
        <v>12.4</v>
      </c>
      <c r="U117" s="11">
        <f>R117*4</f>
        <v>20</v>
      </c>
      <c r="V117" s="12">
        <f>4/3*3.14*U117^2*T117</f>
        <v>20765.866666666665</v>
      </c>
      <c r="W117" s="12">
        <f>V117/1000</f>
        <v>20.765866666666664</v>
      </c>
    </row>
    <row r="118" spans="1:23" x14ac:dyDescent="0.25">
      <c r="A118" s="7">
        <v>117</v>
      </c>
      <c r="B118" s="8" t="s">
        <v>179</v>
      </c>
      <c r="C118" s="8" t="s">
        <v>190</v>
      </c>
      <c r="D118" s="7" t="s">
        <v>181</v>
      </c>
      <c r="E118" s="8" t="s">
        <v>182</v>
      </c>
      <c r="F118" s="7">
        <v>-250</v>
      </c>
      <c r="G118" s="7">
        <v>350</v>
      </c>
      <c r="H118" s="7">
        <f>(F118+G118)/2</f>
        <v>50</v>
      </c>
      <c r="I118" s="9">
        <v>7</v>
      </c>
      <c r="J118" s="10" t="s">
        <v>32</v>
      </c>
      <c r="K118" s="8" t="s">
        <v>27</v>
      </c>
      <c r="L118" s="8" t="s">
        <v>28</v>
      </c>
      <c r="M118" s="8" t="s">
        <v>39</v>
      </c>
      <c r="N118" s="8"/>
      <c r="O118" s="8" t="s">
        <v>40</v>
      </c>
      <c r="P118" s="11">
        <v>6.5</v>
      </c>
      <c r="Q118" s="11">
        <v>4.7</v>
      </c>
      <c r="R118" s="11">
        <v>8.8000000000000007</v>
      </c>
      <c r="S118" s="11">
        <f>P118*4</f>
        <v>26</v>
      </c>
      <c r="T118" s="11">
        <f>Q118*4</f>
        <v>18.8</v>
      </c>
      <c r="U118" s="11">
        <f>R118*4</f>
        <v>35.200000000000003</v>
      </c>
      <c r="V118" s="12">
        <f>4/3*3.14*U118^2*T118</f>
        <v>97524.012373333346</v>
      </c>
      <c r="W118" s="12">
        <f>V118/1000</f>
        <v>97.524012373333349</v>
      </c>
    </row>
    <row r="119" spans="1:23" x14ac:dyDescent="0.25">
      <c r="A119" s="7">
        <v>118</v>
      </c>
      <c r="B119" s="8" t="s">
        <v>179</v>
      </c>
      <c r="C119" s="8" t="s">
        <v>191</v>
      </c>
      <c r="D119" s="7" t="s">
        <v>181</v>
      </c>
      <c r="E119" s="8" t="s">
        <v>182</v>
      </c>
      <c r="F119" s="7">
        <v>-250</v>
      </c>
      <c r="G119" s="7">
        <v>350</v>
      </c>
      <c r="H119" s="7">
        <f>(F119+G119)/2</f>
        <v>50</v>
      </c>
      <c r="I119" s="9">
        <v>5</v>
      </c>
      <c r="J119" s="10" t="s">
        <v>34</v>
      </c>
      <c r="K119" s="8" t="s">
        <v>59</v>
      </c>
      <c r="L119" s="8" t="s">
        <v>60</v>
      </c>
      <c r="M119" s="8" t="s">
        <v>39</v>
      </c>
      <c r="N119" s="8"/>
      <c r="O119" s="8" t="s">
        <v>40</v>
      </c>
      <c r="P119" s="11">
        <v>4.5</v>
      </c>
      <c r="Q119" s="11">
        <v>6</v>
      </c>
      <c r="R119" s="11">
        <v>7.2</v>
      </c>
      <c r="S119" s="11">
        <f>P119*4</f>
        <v>18</v>
      </c>
      <c r="T119" s="11">
        <f>Q119*4</f>
        <v>24</v>
      </c>
      <c r="U119" s="11">
        <f>R119*4</f>
        <v>28.8</v>
      </c>
      <c r="V119" s="12">
        <f>(4/3)*3.14*(U119/2)^3</f>
        <v>12501.319680000001</v>
      </c>
      <c r="W119" s="12">
        <f>V119/1000</f>
        <v>12.50131968</v>
      </c>
    </row>
    <row r="120" spans="1:23" x14ac:dyDescent="0.25">
      <c r="A120" s="7">
        <v>119</v>
      </c>
      <c r="B120" s="8" t="s">
        <v>179</v>
      </c>
      <c r="C120" s="8" t="s">
        <v>192</v>
      </c>
      <c r="D120" s="7" t="s">
        <v>181</v>
      </c>
      <c r="E120" s="8" t="s">
        <v>182</v>
      </c>
      <c r="F120" s="7">
        <v>-250</v>
      </c>
      <c r="G120" s="7">
        <v>350</v>
      </c>
      <c r="H120" s="7">
        <f>(F120+G120)/2</f>
        <v>50</v>
      </c>
      <c r="I120" s="9">
        <v>6</v>
      </c>
      <c r="J120" s="10" t="s">
        <v>32</v>
      </c>
      <c r="K120" s="8" t="s">
        <v>59</v>
      </c>
      <c r="L120" s="8" t="s">
        <v>60</v>
      </c>
      <c r="M120" s="8" t="s">
        <v>39</v>
      </c>
      <c r="N120" s="8"/>
      <c r="O120" s="8" t="s">
        <v>40</v>
      </c>
      <c r="P120" s="11">
        <v>4.7</v>
      </c>
      <c r="Q120" s="11">
        <v>10.3</v>
      </c>
      <c r="R120" s="11">
        <v>11.2</v>
      </c>
      <c r="S120" s="11">
        <f>P120*4</f>
        <v>18.8</v>
      </c>
      <c r="T120" s="11">
        <f>Q120*4</f>
        <v>41.2</v>
      </c>
      <c r="U120" s="11">
        <f>R120*4</f>
        <v>44.8</v>
      </c>
      <c r="V120" s="12">
        <f>(4/3)*3.14*(U120/2)^3</f>
        <v>47055.721813333323</v>
      </c>
      <c r="W120" s="12">
        <f>V120/1000</f>
        <v>47.055721813333321</v>
      </c>
    </row>
    <row r="121" spans="1:23" x14ac:dyDescent="0.25">
      <c r="A121" s="7">
        <v>120</v>
      </c>
      <c r="B121" s="8" t="s">
        <v>179</v>
      </c>
      <c r="C121" s="8" t="s">
        <v>193</v>
      </c>
      <c r="D121" s="7" t="s">
        <v>181</v>
      </c>
      <c r="E121" s="8" t="s">
        <v>182</v>
      </c>
      <c r="F121" s="7">
        <v>-250</v>
      </c>
      <c r="G121" s="7">
        <v>350</v>
      </c>
      <c r="H121" s="7">
        <f>(F121+G121)/2</f>
        <v>50</v>
      </c>
      <c r="I121" s="9">
        <v>2</v>
      </c>
      <c r="J121" s="10" t="s">
        <v>34</v>
      </c>
      <c r="K121" s="8" t="s">
        <v>108</v>
      </c>
      <c r="L121" s="8" t="s">
        <v>109</v>
      </c>
      <c r="M121" s="8" t="s">
        <v>140</v>
      </c>
      <c r="N121" s="8"/>
      <c r="O121" s="8" t="s">
        <v>40</v>
      </c>
      <c r="P121" s="11">
        <v>8.6</v>
      </c>
      <c r="Q121" s="11">
        <v>3.4</v>
      </c>
      <c r="R121" s="11">
        <v>8.6</v>
      </c>
      <c r="S121" s="11">
        <f>P121*4</f>
        <v>34.4</v>
      </c>
      <c r="T121" s="11">
        <f>Q121*4</f>
        <v>13.6</v>
      </c>
      <c r="U121" s="11">
        <f>R121*4</f>
        <v>34.4</v>
      </c>
      <c r="V121" s="12">
        <f>(1/3)*3.14*T121^2*(3*(U121/2)-T121)</f>
        <v>7356.4757333333309</v>
      </c>
      <c r="W121" s="12">
        <f>V121/1000</f>
        <v>7.3564757333333306</v>
      </c>
    </row>
    <row r="122" spans="1:23" x14ac:dyDescent="0.25">
      <c r="A122" s="7">
        <v>121</v>
      </c>
      <c r="B122" s="8" t="s">
        <v>179</v>
      </c>
      <c r="C122" s="8" t="s">
        <v>194</v>
      </c>
      <c r="D122" s="7" t="s">
        <v>195</v>
      </c>
      <c r="E122" s="8" t="s">
        <v>51</v>
      </c>
      <c r="F122" s="7">
        <v>350</v>
      </c>
      <c r="G122" s="7">
        <v>850</v>
      </c>
      <c r="H122" s="7">
        <f>(F122+G122)/2</f>
        <v>600</v>
      </c>
      <c r="I122" s="9">
        <v>1</v>
      </c>
      <c r="J122" s="10" t="s">
        <v>34</v>
      </c>
      <c r="K122" s="8" t="s">
        <v>108</v>
      </c>
      <c r="L122" s="8" t="s">
        <v>109</v>
      </c>
      <c r="M122" s="8" t="s">
        <v>39</v>
      </c>
      <c r="N122" s="8"/>
      <c r="O122" s="8" t="s">
        <v>40</v>
      </c>
      <c r="P122" s="11">
        <v>8.1</v>
      </c>
      <c r="Q122" s="11">
        <v>1.9</v>
      </c>
      <c r="R122" s="11">
        <v>8.1</v>
      </c>
      <c r="S122" s="11">
        <f>P122*4</f>
        <v>32.4</v>
      </c>
      <c r="T122" s="11">
        <f>Q122*4</f>
        <v>7.6</v>
      </c>
      <c r="U122" s="11">
        <f>R122*4</f>
        <v>32.4</v>
      </c>
      <c r="V122" s="12">
        <f>(1/3)*3.14*T122^2*(3*(U122/2)-T122)</f>
        <v>2478.674133333333</v>
      </c>
      <c r="W122" s="12">
        <f>V122/1000</f>
        <v>2.4786741333333331</v>
      </c>
    </row>
    <row r="123" spans="1:23" x14ac:dyDescent="0.25">
      <c r="A123" s="7">
        <v>122</v>
      </c>
      <c r="B123" s="8" t="s">
        <v>179</v>
      </c>
      <c r="C123" s="8" t="s">
        <v>196</v>
      </c>
      <c r="D123" s="7" t="s">
        <v>195</v>
      </c>
      <c r="E123" s="8" t="s">
        <v>51</v>
      </c>
      <c r="F123" s="7">
        <v>350</v>
      </c>
      <c r="G123" s="7">
        <v>850</v>
      </c>
      <c r="H123" s="7">
        <f>(F123+G123)/2</f>
        <v>600</v>
      </c>
      <c r="I123" s="9">
        <v>1</v>
      </c>
      <c r="J123" s="10" t="s">
        <v>32</v>
      </c>
      <c r="K123" s="8" t="s">
        <v>77</v>
      </c>
      <c r="L123" s="8" t="s">
        <v>77</v>
      </c>
      <c r="M123" s="8" t="s">
        <v>140</v>
      </c>
      <c r="N123" s="8"/>
      <c r="O123" s="8" t="s">
        <v>40</v>
      </c>
      <c r="P123" s="11">
        <v>10.3</v>
      </c>
      <c r="Q123" s="11">
        <v>1.8</v>
      </c>
      <c r="R123" s="11">
        <v>10.3</v>
      </c>
      <c r="S123" s="11">
        <f>P123*4</f>
        <v>41.2</v>
      </c>
      <c r="T123" s="11">
        <f>Q123*4</f>
        <v>7.2</v>
      </c>
      <c r="U123" s="11">
        <f>R123*4</f>
        <v>41.2</v>
      </c>
      <c r="V123" s="12">
        <f>(1/3)*3.14*T123^2*(3*(U123/2)-T123)</f>
        <v>2962.5523200000002</v>
      </c>
      <c r="W123" s="12">
        <f>V123/1000</f>
        <v>2.9625523200000003</v>
      </c>
    </row>
    <row r="124" spans="1:23" x14ac:dyDescent="0.25">
      <c r="A124" s="7">
        <v>123</v>
      </c>
      <c r="B124" s="8" t="s">
        <v>179</v>
      </c>
      <c r="C124" s="8" t="s">
        <v>197</v>
      </c>
      <c r="D124" s="7" t="s">
        <v>195</v>
      </c>
      <c r="E124" s="8" t="s">
        <v>51</v>
      </c>
      <c r="F124" s="7">
        <v>350</v>
      </c>
      <c r="G124" s="7">
        <v>850</v>
      </c>
      <c r="H124" s="7">
        <f>(F124+G124)/2</f>
        <v>600</v>
      </c>
      <c r="I124" s="9">
        <v>3</v>
      </c>
      <c r="J124" s="10" t="s">
        <v>26</v>
      </c>
      <c r="K124" s="8" t="s">
        <v>27</v>
      </c>
      <c r="L124" s="8" t="s">
        <v>28</v>
      </c>
      <c r="M124" s="8" t="s">
        <v>39</v>
      </c>
      <c r="N124" s="8"/>
      <c r="O124" s="8" t="s">
        <v>40</v>
      </c>
      <c r="P124" s="11">
        <v>4.7</v>
      </c>
      <c r="Q124" s="11">
        <v>2.4</v>
      </c>
      <c r="R124" s="11">
        <v>6.2</v>
      </c>
      <c r="S124" s="11">
        <f>P124*4</f>
        <v>18.8</v>
      </c>
      <c r="T124" s="11">
        <f>Q124*4</f>
        <v>9.6</v>
      </c>
      <c r="U124" s="11">
        <f>R124*4</f>
        <v>24.8</v>
      </c>
      <c r="V124" s="12">
        <f>4/3*3.14*U124^2*T124</f>
        <v>24719.687680000003</v>
      </c>
      <c r="W124" s="12">
        <f>V124/1000</f>
        <v>24.719687680000003</v>
      </c>
    </row>
    <row r="125" spans="1:23" x14ac:dyDescent="0.25">
      <c r="A125" s="7">
        <v>124</v>
      </c>
      <c r="B125" s="8" t="s">
        <v>179</v>
      </c>
      <c r="C125" s="8" t="s">
        <v>198</v>
      </c>
      <c r="D125" s="7" t="s">
        <v>195</v>
      </c>
      <c r="E125" s="8" t="s">
        <v>51</v>
      </c>
      <c r="F125" s="7">
        <v>350</v>
      </c>
      <c r="G125" s="7">
        <v>850</v>
      </c>
      <c r="H125" s="7">
        <f>(F125+G125)/2</f>
        <v>600</v>
      </c>
      <c r="I125" s="9">
        <v>5</v>
      </c>
      <c r="J125" s="10" t="s">
        <v>34</v>
      </c>
      <c r="K125" s="8" t="s">
        <v>42</v>
      </c>
      <c r="L125" s="8" t="s">
        <v>43</v>
      </c>
      <c r="M125" s="8" t="s">
        <v>39</v>
      </c>
      <c r="N125" s="8"/>
      <c r="O125" s="8" t="s">
        <v>40</v>
      </c>
      <c r="P125" s="11">
        <v>3.9</v>
      </c>
      <c r="Q125" s="11">
        <v>6.3</v>
      </c>
      <c r="R125" s="11">
        <v>6.8</v>
      </c>
      <c r="S125" s="11">
        <f>P125*4</f>
        <v>15.6</v>
      </c>
      <c r="T125" s="11">
        <f>Q125*4</f>
        <v>25.2</v>
      </c>
      <c r="U125" s="11">
        <f>R125*4</f>
        <v>27.2</v>
      </c>
      <c r="V125" s="12">
        <f>(4/3)*3.14*(U125/2)^3</f>
        <v>10531.375786666666</v>
      </c>
      <c r="W125" s="12">
        <f>V125/1000</f>
        <v>10.531375786666665</v>
      </c>
    </row>
    <row r="126" spans="1:23" x14ac:dyDescent="0.25">
      <c r="A126" s="7">
        <v>125</v>
      </c>
      <c r="B126" s="8" t="s">
        <v>179</v>
      </c>
      <c r="C126" s="8" t="s">
        <v>199</v>
      </c>
      <c r="D126" s="7" t="s">
        <v>195</v>
      </c>
      <c r="E126" s="8" t="s">
        <v>51</v>
      </c>
      <c r="F126" s="7">
        <v>350</v>
      </c>
      <c r="G126" s="7">
        <v>850</v>
      </c>
      <c r="H126" s="7">
        <f>(F126+G126)/2</f>
        <v>600</v>
      </c>
      <c r="I126" s="9">
        <v>7</v>
      </c>
      <c r="J126" s="10" t="s">
        <v>32</v>
      </c>
      <c r="K126" s="8" t="s">
        <v>27</v>
      </c>
      <c r="L126" s="8" t="s">
        <v>28</v>
      </c>
      <c r="M126" s="8" t="s">
        <v>39</v>
      </c>
      <c r="N126" s="8"/>
      <c r="O126" s="8" t="s">
        <v>40</v>
      </c>
      <c r="P126" s="11">
        <v>6.9</v>
      </c>
      <c r="Q126" s="11">
        <v>4</v>
      </c>
      <c r="R126" s="11">
        <v>9.3000000000000007</v>
      </c>
      <c r="S126" s="11">
        <f>P126*4</f>
        <v>27.6</v>
      </c>
      <c r="T126" s="11">
        <f>Q126*4</f>
        <v>16</v>
      </c>
      <c r="U126" s="11">
        <f>R126*4</f>
        <v>37.200000000000003</v>
      </c>
      <c r="V126" s="12">
        <f>4/3*3.14*U126^2*T126</f>
        <v>92698.828800000003</v>
      </c>
      <c r="W126" s="12">
        <f>V126/1000</f>
        <v>92.698828800000001</v>
      </c>
    </row>
    <row r="127" spans="1:23" x14ac:dyDescent="0.25">
      <c r="A127" s="7">
        <v>126</v>
      </c>
      <c r="B127" s="8" t="s">
        <v>179</v>
      </c>
      <c r="C127" s="8" t="s">
        <v>200</v>
      </c>
      <c r="D127" s="7" t="s">
        <v>195</v>
      </c>
      <c r="E127" s="8" t="s">
        <v>51</v>
      </c>
      <c r="F127" s="7">
        <v>350</v>
      </c>
      <c r="G127" s="7">
        <v>850</v>
      </c>
      <c r="H127" s="7">
        <f>(F127+G127)/2</f>
        <v>600</v>
      </c>
      <c r="I127" s="9">
        <v>8</v>
      </c>
      <c r="J127" s="10" t="s">
        <v>34</v>
      </c>
      <c r="K127" s="8" t="s">
        <v>27</v>
      </c>
      <c r="L127" s="8" t="s">
        <v>28</v>
      </c>
      <c r="M127" s="8" t="s">
        <v>140</v>
      </c>
      <c r="N127" s="8"/>
      <c r="O127" s="8" t="s">
        <v>40</v>
      </c>
      <c r="P127" s="11">
        <v>6.5</v>
      </c>
      <c r="Q127" s="11">
        <v>2.7</v>
      </c>
      <c r="R127" s="11">
        <v>8.1</v>
      </c>
      <c r="S127" s="11">
        <f>P127*4</f>
        <v>26</v>
      </c>
      <c r="T127" s="11">
        <f>Q127*4</f>
        <v>10.8</v>
      </c>
      <c r="U127" s="11">
        <f>R127*4</f>
        <v>32.4</v>
      </c>
      <c r="V127" s="12">
        <f>4/3*3.14*U127^2*T127</f>
        <v>47465.94816</v>
      </c>
      <c r="W127" s="12">
        <f>V127/1000</f>
        <v>47.465948159999996</v>
      </c>
    </row>
    <row r="128" spans="1:23" x14ac:dyDescent="0.25">
      <c r="A128" s="7">
        <v>127</v>
      </c>
      <c r="B128" s="8" t="s">
        <v>179</v>
      </c>
      <c r="C128" s="8" t="s">
        <v>201</v>
      </c>
      <c r="D128" s="7" t="s">
        <v>195</v>
      </c>
      <c r="E128" s="8" t="s">
        <v>51</v>
      </c>
      <c r="F128" s="7">
        <v>350</v>
      </c>
      <c r="G128" s="7">
        <v>850</v>
      </c>
      <c r="H128" s="7">
        <f>(F128+G128)/2</f>
        <v>600</v>
      </c>
      <c r="I128" s="9">
        <v>8</v>
      </c>
      <c r="J128" s="10" t="s">
        <v>32</v>
      </c>
      <c r="K128" s="8" t="s">
        <v>27</v>
      </c>
      <c r="L128" s="8" t="s">
        <v>28</v>
      </c>
      <c r="M128" s="8" t="s">
        <v>39</v>
      </c>
      <c r="N128" s="8"/>
      <c r="O128" s="8" t="s">
        <v>40</v>
      </c>
      <c r="P128" s="11">
        <v>7.4</v>
      </c>
      <c r="Q128" s="11">
        <v>2.7</v>
      </c>
      <c r="R128" s="11">
        <v>9.9</v>
      </c>
      <c r="S128" s="11">
        <f>P128*4</f>
        <v>29.6</v>
      </c>
      <c r="T128" s="11">
        <f>Q128*4</f>
        <v>10.8</v>
      </c>
      <c r="U128" s="11">
        <f>R128*4</f>
        <v>39.6</v>
      </c>
      <c r="V128" s="12">
        <f>4/3*3.14*U128^2*T128</f>
        <v>70905.922560000006</v>
      </c>
      <c r="W128" s="12">
        <f>V128/1000</f>
        <v>70.905922560000008</v>
      </c>
    </row>
    <row r="129" spans="1:23" x14ac:dyDescent="0.25">
      <c r="A129" s="7">
        <v>128</v>
      </c>
      <c r="B129" s="8" t="s">
        <v>179</v>
      </c>
      <c r="C129" s="8" t="s">
        <v>202</v>
      </c>
      <c r="D129" s="7" t="s">
        <v>195</v>
      </c>
      <c r="E129" s="8" t="s">
        <v>51</v>
      </c>
      <c r="F129" s="7">
        <v>350</v>
      </c>
      <c r="G129" s="7">
        <v>850</v>
      </c>
      <c r="H129" s="7">
        <f>(F129+G129)/2</f>
        <v>600</v>
      </c>
      <c r="I129" s="9">
        <v>5</v>
      </c>
      <c r="J129" s="10" t="s">
        <v>65</v>
      </c>
      <c r="K129" s="8" t="s">
        <v>42</v>
      </c>
      <c r="L129" s="8" t="s">
        <v>43</v>
      </c>
      <c r="M129" s="8" t="s">
        <v>39</v>
      </c>
      <c r="N129" s="8"/>
      <c r="O129" s="8" t="s">
        <v>71</v>
      </c>
      <c r="P129" s="11">
        <v>2.1</v>
      </c>
      <c r="Q129" s="11">
        <v>3.3</v>
      </c>
      <c r="R129" s="11">
        <v>3.2</v>
      </c>
      <c r="S129" s="11">
        <f>P129*4</f>
        <v>8.4</v>
      </c>
      <c r="T129" s="11">
        <f>Q129*4</f>
        <v>13.2</v>
      </c>
      <c r="U129" s="11">
        <f>R129*4</f>
        <v>12.8</v>
      </c>
      <c r="V129" s="12">
        <f>(4/3)*3.14*(U129/2)^3</f>
        <v>1097.5095466666669</v>
      </c>
      <c r="W129" s="12">
        <f>V129/1000</f>
        <v>1.0975095466666669</v>
      </c>
    </row>
    <row r="130" spans="1:23" x14ac:dyDescent="0.25">
      <c r="A130" s="7">
        <v>129</v>
      </c>
      <c r="B130" s="8" t="s">
        <v>179</v>
      </c>
      <c r="C130" s="8" t="s">
        <v>203</v>
      </c>
      <c r="D130" s="7" t="s">
        <v>195</v>
      </c>
      <c r="E130" s="8" t="s">
        <v>51</v>
      </c>
      <c r="F130" s="7">
        <v>350</v>
      </c>
      <c r="G130" s="7">
        <v>850</v>
      </c>
      <c r="H130" s="7">
        <f>(F130+G130)/2</f>
        <v>600</v>
      </c>
      <c r="I130" s="9">
        <v>5</v>
      </c>
      <c r="J130" s="10" t="s">
        <v>26</v>
      </c>
      <c r="K130" s="8" t="s">
        <v>42</v>
      </c>
      <c r="L130" s="8" t="s">
        <v>43</v>
      </c>
      <c r="M130" s="8" t="s">
        <v>39</v>
      </c>
      <c r="N130" s="8"/>
      <c r="O130" s="8" t="s">
        <v>40</v>
      </c>
      <c r="P130" s="11">
        <v>4.7</v>
      </c>
      <c r="Q130" s="11">
        <v>5.7</v>
      </c>
      <c r="R130" s="11">
        <v>5.9</v>
      </c>
      <c r="S130" s="11">
        <f>P130*4</f>
        <v>18.8</v>
      </c>
      <c r="T130" s="11">
        <f>Q130*4</f>
        <v>22.8</v>
      </c>
      <c r="U130" s="11">
        <f>R130*4</f>
        <v>23.6</v>
      </c>
      <c r="V130" s="12">
        <f>(4/3)*3.14*(U130/2)^3</f>
        <v>6878.827306666667</v>
      </c>
      <c r="W130" s="12">
        <f>V130/1000</f>
        <v>6.8788273066666674</v>
      </c>
    </row>
    <row r="131" spans="1:23" x14ac:dyDescent="0.25">
      <c r="A131" s="7">
        <v>130</v>
      </c>
      <c r="B131" s="8" t="s">
        <v>179</v>
      </c>
      <c r="C131" s="8" t="s">
        <v>204</v>
      </c>
      <c r="D131" s="7" t="s">
        <v>195</v>
      </c>
      <c r="E131" s="8" t="s">
        <v>51</v>
      </c>
      <c r="F131" s="7">
        <v>350</v>
      </c>
      <c r="G131" s="7">
        <v>850</v>
      </c>
      <c r="H131" s="7">
        <f>(F131+G131)/2</f>
        <v>600</v>
      </c>
      <c r="I131" s="9">
        <v>5</v>
      </c>
      <c r="J131" s="10" t="s">
        <v>26</v>
      </c>
      <c r="K131" s="8" t="s">
        <v>27</v>
      </c>
      <c r="L131" s="8" t="s">
        <v>28</v>
      </c>
      <c r="M131" s="8" t="s">
        <v>39</v>
      </c>
      <c r="N131" s="8"/>
      <c r="O131" s="8" t="s">
        <v>40</v>
      </c>
      <c r="P131" s="11">
        <v>3.6</v>
      </c>
      <c r="Q131" s="11">
        <v>4.4000000000000004</v>
      </c>
      <c r="R131" s="11">
        <v>5.8</v>
      </c>
      <c r="S131" s="11">
        <f>P131*4</f>
        <v>14.4</v>
      </c>
      <c r="T131" s="11">
        <f>Q131*4</f>
        <v>17.600000000000001</v>
      </c>
      <c r="U131" s="11">
        <f>R131*4</f>
        <v>23.2</v>
      </c>
      <c r="V131" s="12">
        <f>(4/3)*3.14*(U131/2)^3</f>
        <v>6534.9512533333327</v>
      </c>
      <c r="W131" s="12">
        <f>V131/1000</f>
        <v>6.5349512533333325</v>
      </c>
    </row>
    <row r="132" spans="1:23" x14ac:dyDescent="0.25">
      <c r="A132" s="7">
        <v>131</v>
      </c>
      <c r="B132" s="8" t="s">
        <v>179</v>
      </c>
      <c r="C132" s="8" t="s">
        <v>205</v>
      </c>
      <c r="D132" s="7" t="s">
        <v>195</v>
      </c>
      <c r="E132" s="8" t="s">
        <v>51</v>
      </c>
      <c r="F132" s="7">
        <v>350</v>
      </c>
      <c r="G132" s="7">
        <v>850</v>
      </c>
      <c r="H132" s="7">
        <f>(F132+G132)/2</f>
        <v>600</v>
      </c>
      <c r="I132" s="9">
        <v>5</v>
      </c>
      <c r="J132" s="10" t="s">
        <v>34</v>
      </c>
      <c r="K132" s="8" t="s">
        <v>27</v>
      </c>
      <c r="L132" s="8" t="s">
        <v>28</v>
      </c>
      <c r="M132" s="8" t="s">
        <v>39</v>
      </c>
      <c r="N132" s="8"/>
      <c r="O132" s="8" t="s">
        <v>40</v>
      </c>
      <c r="P132" s="11">
        <v>5.7</v>
      </c>
      <c r="Q132" s="11">
        <v>4.3</v>
      </c>
      <c r="R132" s="11">
        <v>6.7</v>
      </c>
      <c r="S132" s="11">
        <f>P132*4</f>
        <v>22.8</v>
      </c>
      <c r="T132" s="11">
        <f>Q132*4</f>
        <v>17.2</v>
      </c>
      <c r="U132" s="11">
        <f>R132*4</f>
        <v>26.8</v>
      </c>
      <c r="V132" s="12">
        <f>(4/3)*3.14*(U132/2)^3</f>
        <v>10073.555413333333</v>
      </c>
      <c r="W132" s="12">
        <f>V132/1000</f>
        <v>10.073555413333333</v>
      </c>
    </row>
    <row r="133" spans="1:23" x14ac:dyDescent="0.25">
      <c r="A133" s="7">
        <v>132</v>
      </c>
      <c r="B133" s="8" t="s">
        <v>179</v>
      </c>
      <c r="C133" s="8" t="s">
        <v>206</v>
      </c>
      <c r="D133" s="7" t="s">
        <v>195</v>
      </c>
      <c r="E133" s="8" t="s">
        <v>51</v>
      </c>
      <c r="F133" s="7">
        <v>350</v>
      </c>
      <c r="G133" s="7">
        <v>850</v>
      </c>
      <c r="H133" s="7">
        <f>(F133+G133)/2</f>
        <v>600</v>
      </c>
      <c r="I133" s="9">
        <v>5</v>
      </c>
      <c r="J133" s="10" t="s">
        <v>34</v>
      </c>
      <c r="K133" s="8" t="s">
        <v>27</v>
      </c>
      <c r="L133" s="8" t="s">
        <v>28</v>
      </c>
      <c r="M133" s="8" t="s">
        <v>39</v>
      </c>
      <c r="N133" s="8"/>
      <c r="O133" s="8" t="s">
        <v>71</v>
      </c>
      <c r="P133" s="11">
        <v>4.7</v>
      </c>
      <c r="Q133" s="11">
        <v>5.5</v>
      </c>
      <c r="R133" s="11">
        <v>7</v>
      </c>
      <c r="S133" s="11">
        <f>P133*4</f>
        <v>18.8</v>
      </c>
      <c r="T133" s="11">
        <f>Q133*4</f>
        <v>22</v>
      </c>
      <c r="U133" s="11">
        <f>R133*4</f>
        <v>28</v>
      </c>
      <c r="V133" s="12">
        <f>(4/3)*3.14*(U133/2)^3</f>
        <v>11488.213333333333</v>
      </c>
      <c r="W133" s="12">
        <f>V133/1000</f>
        <v>11.488213333333332</v>
      </c>
    </row>
    <row r="134" spans="1:23" x14ac:dyDescent="0.25">
      <c r="A134" s="7">
        <v>133</v>
      </c>
      <c r="B134" s="8" t="s">
        <v>179</v>
      </c>
      <c r="C134" s="8" t="s">
        <v>207</v>
      </c>
      <c r="D134" s="7" t="s">
        <v>195</v>
      </c>
      <c r="E134" s="8" t="s">
        <v>51</v>
      </c>
      <c r="F134" s="7">
        <v>350</v>
      </c>
      <c r="G134" s="7">
        <v>850</v>
      </c>
      <c r="H134" s="7">
        <f>(F134+G134)/2</f>
        <v>600</v>
      </c>
      <c r="I134" s="9">
        <v>1</v>
      </c>
      <c r="J134" s="10" t="s">
        <v>26</v>
      </c>
      <c r="K134" s="8" t="s">
        <v>27</v>
      </c>
      <c r="L134" s="8" t="s">
        <v>28</v>
      </c>
      <c r="M134" s="8" t="s">
        <v>39</v>
      </c>
      <c r="N134" s="8"/>
      <c r="O134" s="8" t="s">
        <v>40</v>
      </c>
      <c r="P134" s="11">
        <v>6.1</v>
      </c>
      <c r="Q134" s="11">
        <v>1.5</v>
      </c>
      <c r="R134" s="11">
        <v>6.1</v>
      </c>
      <c r="S134" s="11">
        <f>P134*4</f>
        <v>24.4</v>
      </c>
      <c r="T134" s="11">
        <f>Q134*4</f>
        <v>6</v>
      </c>
      <c r="U134" s="11">
        <f>R134*4</f>
        <v>24.4</v>
      </c>
      <c r="V134" s="12">
        <f>(1/3)*3.14*T134^2*(3*(U134/2)-T134)</f>
        <v>1153.0079999999998</v>
      </c>
      <c r="W134" s="12">
        <f>V134/1000</f>
        <v>1.1530079999999998</v>
      </c>
    </row>
    <row r="135" spans="1:23" x14ac:dyDescent="0.25">
      <c r="A135" s="7">
        <v>134</v>
      </c>
      <c r="B135" s="8" t="s">
        <v>179</v>
      </c>
      <c r="C135" s="8" t="s">
        <v>208</v>
      </c>
      <c r="D135" s="7" t="s">
        <v>195</v>
      </c>
      <c r="E135" s="8" t="s">
        <v>51</v>
      </c>
      <c r="F135" s="7">
        <v>350</v>
      </c>
      <c r="G135" s="7">
        <v>850</v>
      </c>
      <c r="H135" s="7">
        <f>(F135+G135)/2</f>
        <v>600</v>
      </c>
      <c r="I135" s="9">
        <v>4</v>
      </c>
      <c r="J135" s="10" t="s">
        <v>34</v>
      </c>
      <c r="K135" s="8" t="s">
        <v>27</v>
      </c>
      <c r="L135" s="8" t="s">
        <v>28</v>
      </c>
      <c r="M135" s="8" t="s">
        <v>39</v>
      </c>
      <c r="N135" s="8"/>
      <c r="O135" s="8" t="s">
        <v>40</v>
      </c>
      <c r="P135" s="11">
        <v>6.4</v>
      </c>
      <c r="Q135" s="11">
        <v>3.1</v>
      </c>
      <c r="R135" s="11">
        <v>6.4</v>
      </c>
      <c r="S135" s="11">
        <f>P135*4</f>
        <v>25.6</v>
      </c>
      <c r="T135" s="11">
        <f>Q135*4</f>
        <v>12.4</v>
      </c>
      <c r="U135" s="11">
        <f>R135*4</f>
        <v>25.6</v>
      </c>
      <c r="V135" s="12">
        <f>(2/3)*3.14*(U135/2)^3</f>
        <v>4390.0381866666676</v>
      </c>
      <c r="W135" s="12">
        <f>V135/1000</f>
        <v>4.3900381866666676</v>
      </c>
    </row>
    <row r="136" spans="1:23" x14ac:dyDescent="0.25">
      <c r="A136" s="7">
        <v>135</v>
      </c>
      <c r="B136" s="8" t="s">
        <v>179</v>
      </c>
      <c r="C136" s="8" t="s">
        <v>209</v>
      </c>
      <c r="D136" s="7" t="s">
        <v>195</v>
      </c>
      <c r="E136" s="8" t="s">
        <v>51</v>
      </c>
      <c r="F136" s="7">
        <v>350</v>
      </c>
      <c r="G136" s="7">
        <v>850</v>
      </c>
      <c r="H136" s="7">
        <f>(F136+G136)/2</f>
        <v>600</v>
      </c>
      <c r="I136" s="9">
        <v>7</v>
      </c>
      <c r="J136" s="10" t="s">
        <v>26</v>
      </c>
      <c r="K136" s="8" t="s">
        <v>27</v>
      </c>
      <c r="L136" s="8" t="s">
        <v>28</v>
      </c>
      <c r="M136" s="8" t="s">
        <v>39</v>
      </c>
      <c r="N136" s="8"/>
      <c r="O136" s="8" t="s">
        <v>40</v>
      </c>
      <c r="P136" s="11">
        <v>4.3</v>
      </c>
      <c r="Q136" s="11">
        <v>3.2</v>
      </c>
      <c r="R136" s="11">
        <v>5.4</v>
      </c>
      <c r="S136" s="11">
        <f>P136*4</f>
        <v>17.2</v>
      </c>
      <c r="T136" s="11">
        <f>Q136*4</f>
        <v>12.8</v>
      </c>
      <c r="U136" s="11">
        <f>R136*4</f>
        <v>21.6</v>
      </c>
      <c r="V136" s="12">
        <f>4/3*3.14*U136^2*T136</f>
        <v>25002.639360000001</v>
      </c>
      <c r="W136" s="12">
        <f>V136/1000</f>
        <v>25.00263936</v>
      </c>
    </row>
    <row r="137" spans="1:23" x14ac:dyDescent="0.25">
      <c r="A137" s="7">
        <v>136</v>
      </c>
      <c r="B137" s="8" t="s">
        <v>179</v>
      </c>
      <c r="C137" s="8" t="s">
        <v>210</v>
      </c>
      <c r="D137" s="7" t="s">
        <v>195</v>
      </c>
      <c r="E137" s="8" t="s">
        <v>51</v>
      </c>
      <c r="F137" s="7">
        <v>350</v>
      </c>
      <c r="G137" s="7">
        <v>850</v>
      </c>
      <c r="H137" s="7">
        <f>(F137+G137)/2</f>
        <v>600</v>
      </c>
      <c r="I137" s="9">
        <v>7</v>
      </c>
      <c r="J137" s="10" t="s">
        <v>34</v>
      </c>
      <c r="K137" s="8" t="s">
        <v>42</v>
      </c>
      <c r="L137" s="8" t="s">
        <v>43</v>
      </c>
      <c r="M137" s="8" t="s">
        <v>39</v>
      </c>
      <c r="N137" s="8"/>
      <c r="O137" s="8" t="s">
        <v>40</v>
      </c>
      <c r="P137" s="11">
        <v>6</v>
      </c>
      <c r="Q137" s="11">
        <v>3.2</v>
      </c>
      <c r="R137" s="11">
        <v>6.8</v>
      </c>
      <c r="S137" s="11">
        <f>P137*4</f>
        <v>24</v>
      </c>
      <c r="T137" s="11">
        <f>Q137*4</f>
        <v>12.8</v>
      </c>
      <c r="U137" s="11">
        <f>R137*4</f>
        <v>27.2</v>
      </c>
      <c r="V137" s="12">
        <f>4/3*3.14*U137^2*T137</f>
        <v>39647.532373333328</v>
      </c>
      <c r="W137" s="12">
        <f>V137/1000</f>
        <v>39.647532373333327</v>
      </c>
    </row>
    <row r="138" spans="1:23" x14ac:dyDescent="0.25">
      <c r="A138" s="7">
        <v>137</v>
      </c>
      <c r="B138" s="8" t="s">
        <v>179</v>
      </c>
      <c r="C138" s="8" t="s">
        <v>211</v>
      </c>
      <c r="D138" s="7" t="s">
        <v>195</v>
      </c>
      <c r="E138" s="8" t="s">
        <v>51</v>
      </c>
      <c r="F138" s="7">
        <v>350</v>
      </c>
      <c r="G138" s="7">
        <v>850</v>
      </c>
      <c r="H138" s="7">
        <f>(F138+G138)/2</f>
        <v>600</v>
      </c>
      <c r="I138" s="9">
        <v>2</v>
      </c>
      <c r="J138" s="10" t="s">
        <v>26</v>
      </c>
      <c r="K138" s="8" t="s">
        <v>27</v>
      </c>
      <c r="L138" s="8" t="s">
        <v>28</v>
      </c>
      <c r="M138" s="8" t="s">
        <v>140</v>
      </c>
      <c r="N138" s="8"/>
      <c r="O138" s="8" t="s">
        <v>71</v>
      </c>
      <c r="P138" s="11">
        <v>4.3</v>
      </c>
      <c r="Q138" s="11">
        <v>2</v>
      </c>
      <c r="R138" s="11">
        <v>4.3</v>
      </c>
      <c r="S138" s="11">
        <f>P138*4</f>
        <v>17.2</v>
      </c>
      <c r="T138" s="11">
        <f>Q138*4</f>
        <v>8</v>
      </c>
      <c r="U138" s="11">
        <f>R138*4</f>
        <v>17.2</v>
      </c>
      <c r="V138" s="12">
        <f>(1/3)*3.14*T138^2*(3*(U138/2)-T138)</f>
        <v>1192.3626666666664</v>
      </c>
      <c r="W138" s="12">
        <f>V138/1000</f>
        <v>1.1923626666666665</v>
      </c>
    </row>
    <row r="139" spans="1:23" x14ac:dyDescent="0.25">
      <c r="A139" s="7">
        <v>138</v>
      </c>
      <c r="B139" s="8" t="s">
        <v>179</v>
      </c>
      <c r="C139" s="8" t="s">
        <v>212</v>
      </c>
      <c r="D139" s="7" t="s">
        <v>195</v>
      </c>
      <c r="E139" s="8" t="s">
        <v>51</v>
      </c>
      <c r="F139" s="7">
        <v>350</v>
      </c>
      <c r="G139" s="7">
        <v>850</v>
      </c>
      <c r="H139" s="7">
        <f>(F139+G139)/2</f>
        <v>600</v>
      </c>
      <c r="I139" s="9">
        <v>4</v>
      </c>
      <c r="J139" s="10" t="s">
        <v>34</v>
      </c>
      <c r="K139" s="8" t="s">
        <v>27</v>
      </c>
      <c r="L139" s="8" t="s">
        <v>28</v>
      </c>
      <c r="M139" s="8" t="s">
        <v>39</v>
      </c>
      <c r="N139" s="8"/>
      <c r="O139" s="8" t="s">
        <v>40</v>
      </c>
      <c r="P139" s="11">
        <v>6.9</v>
      </c>
      <c r="Q139" s="11">
        <v>5</v>
      </c>
      <c r="R139" s="11">
        <v>6.9</v>
      </c>
      <c r="S139" s="11">
        <f>P139*4</f>
        <v>27.6</v>
      </c>
      <c r="T139" s="11">
        <f>Q139*4</f>
        <v>20</v>
      </c>
      <c r="U139" s="11">
        <f>R139*4</f>
        <v>27.6</v>
      </c>
      <c r="V139" s="12">
        <f>(2/3)*3.14*(U139/2)^3</f>
        <v>5501.4307200000012</v>
      </c>
      <c r="W139" s="12">
        <f>V139/1000</f>
        <v>5.501430720000001</v>
      </c>
    </row>
    <row r="140" spans="1:23" x14ac:dyDescent="0.25">
      <c r="A140" s="7">
        <v>139</v>
      </c>
      <c r="B140" s="8" t="s">
        <v>179</v>
      </c>
      <c r="C140" s="8" t="s">
        <v>213</v>
      </c>
      <c r="D140" s="7" t="s">
        <v>214</v>
      </c>
      <c r="E140" s="8" t="s">
        <v>51</v>
      </c>
      <c r="F140" s="7">
        <v>850</v>
      </c>
      <c r="G140" s="7">
        <v>1400</v>
      </c>
      <c r="H140" s="7">
        <f>(F140+G140)/2</f>
        <v>1125</v>
      </c>
      <c r="I140" s="9">
        <v>1</v>
      </c>
      <c r="J140" s="10" t="s">
        <v>34</v>
      </c>
      <c r="K140" s="8" t="s">
        <v>108</v>
      </c>
      <c r="L140" s="8" t="s">
        <v>109</v>
      </c>
      <c r="M140" s="8" t="s">
        <v>140</v>
      </c>
      <c r="N140" s="8"/>
      <c r="O140" s="8" t="s">
        <v>71</v>
      </c>
      <c r="P140" s="11">
        <v>8.4</v>
      </c>
      <c r="Q140" s="11">
        <v>1.9</v>
      </c>
      <c r="R140" s="11">
        <v>8.4</v>
      </c>
      <c r="S140" s="11">
        <f>P140*4</f>
        <v>33.6</v>
      </c>
      <c r="T140" s="11">
        <f>Q140*4</f>
        <v>7.6</v>
      </c>
      <c r="U140" s="11">
        <f>R140*4</f>
        <v>33.6</v>
      </c>
      <c r="V140" s="12">
        <f>(1/3)*3.14*T140^2*(3*(U140/2)-T140)</f>
        <v>2587.4939733333335</v>
      </c>
      <c r="W140" s="12">
        <f>V140/1000</f>
        <v>2.5874939733333338</v>
      </c>
    </row>
    <row r="141" spans="1:23" x14ac:dyDescent="0.25">
      <c r="A141" s="7">
        <v>140</v>
      </c>
      <c r="B141" s="8" t="s">
        <v>179</v>
      </c>
      <c r="C141" s="8" t="s">
        <v>215</v>
      </c>
      <c r="D141" s="7" t="s">
        <v>214</v>
      </c>
      <c r="E141" s="8" t="s">
        <v>51</v>
      </c>
      <c r="F141" s="7">
        <v>850</v>
      </c>
      <c r="G141" s="7">
        <v>1400</v>
      </c>
      <c r="H141" s="7">
        <f>(F141+G141)/2</f>
        <v>1125</v>
      </c>
      <c r="I141" s="9">
        <v>1</v>
      </c>
      <c r="J141" s="10" t="s">
        <v>34</v>
      </c>
      <c r="K141" s="8" t="s">
        <v>77</v>
      </c>
      <c r="L141" s="8" t="s">
        <v>77</v>
      </c>
      <c r="M141" s="8" t="s">
        <v>39</v>
      </c>
      <c r="N141" s="8"/>
      <c r="O141" s="8" t="s">
        <v>71</v>
      </c>
      <c r="P141" s="11">
        <v>8.4</v>
      </c>
      <c r="Q141" s="11">
        <v>2</v>
      </c>
      <c r="R141" s="11">
        <v>8.4</v>
      </c>
      <c r="S141" s="11">
        <f>P141*4</f>
        <v>33.6</v>
      </c>
      <c r="T141" s="11">
        <f>Q141*4</f>
        <v>8</v>
      </c>
      <c r="U141" s="11">
        <f>R141*4</f>
        <v>33.6</v>
      </c>
      <c r="V141" s="12">
        <f>(1/3)*3.14*T141^2*(3*(U141/2)-T141)</f>
        <v>2840.2346666666672</v>
      </c>
      <c r="W141" s="12">
        <f>V141/1000</f>
        <v>2.8402346666666674</v>
      </c>
    </row>
    <row r="142" spans="1:23" x14ac:dyDescent="0.25">
      <c r="A142" s="7">
        <v>141</v>
      </c>
      <c r="B142" s="8" t="s">
        <v>179</v>
      </c>
      <c r="C142" s="8" t="s">
        <v>216</v>
      </c>
      <c r="D142" s="7" t="s">
        <v>214</v>
      </c>
      <c r="E142" s="8" t="s">
        <v>51</v>
      </c>
      <c r="F142" s="7">
        <v>850</v>
      </c>
      <c r="G142" s="7">
        <v>1400</v>
      </c>
      <c r="H142" s="7">
        <f>(F142+G142)/2</f>
        <v>1125</v>
      </c>
      <c r="I142" s="9">
        <v>6</v>
      </c>
      <c r="J142" s="10" t="s">
        <v>34</v>
      </c>
      <c r="K142" s="8" t="s">
        <v>77</v>
      </c>
      <c r="L142" s="8" t="s">
        <v>77</v>
      </c>
      <c r="M142" s="8" t="s">
        <v>39</v>
      </c>
      <c r="N142" s="8"/>
      <c r="O142" s="8" t="s">
        <v>40</v>
      </c>
      <c r="P142" s="11">
        <v>2.7</v>
      </c>
      <c r="Q142" s="11">
        <v>7.4</v>
      </c>
      <c r="R142" s="11">
        <v>7.2</v>
      </c>
      <c r="S142" s="11">
        <f>P142*4</f>
        <v>10.8</v>
      </c>
      <c r="T142" s="11">
        <f>Q142*4</f>
        <v>29.6</v>
      </c>
      <c r="U142" s="11">
        <f>R142*4</f>
        <v>28.8</v>
      </c>
      <c r="V142" s="12">
        <f>(4/3)*3.14*(U142/2)^3</f>
        <v>12501.319680000001</v>
      </c>
      <c r="W142" s="12">
        <f>V142/1000</f>
        <v>12.50131968</v>
      </c>
    </row>
    <row r="143" spans="1:23" x14ac:dyDescent="0.25">
      <c r="A143" s="7">
        <v>142</v>
      </c>
      <c r="B143" s="8" t="s">
        <v>179</v>
      </c>
      <c r="C143" s="8" t="s">
        <v>217</v>
      </c>
      <c r="D143" s="7" t="s">
        <v>214</v>
      </c>
      <c r="E143" s="8" t="s">
        <v>51</v>
      </c>
      <c r="F143" s="7">
        <v>850</v>
      </c>
      <c r="G143" s="7">
        <v>1400</v>
      </c>
      <c r="H143" s="7">
        <f>(F143+G143)/2</f>
        <v>1125</v>
      </c>
      <c r="I143" s="9">
        <v>6</v>
      </c>
      <c r="J143" s="10" t="s">
        <v>34</v>
      </c>
      <c r="K143" s="8" t="s">
        <v>42</v>
      </c>
      <c r="L143" s="8" t="s">
        <v>43</v>
      </c>
      <c r="M143" s="8" t="s">
        <v>39</v>
      </c>
      <c r="N143" s="8"/>
      <c r="O143" s="8" t="s">
        <v>40</v>
      </c>
      <c r="P143" s="11">
        <v>2</v>
      </c>
      <c r="Q143" s="11">
        <v>7.7</v>
      </c>
      <c r="R143" s="11">
        <v>6.7</v>
      </c>
      <c r="S143" s="11">
        <f>P143*4</f>
        <v>8</v>
      </c>
      <c r="T143" s="11">
        <f>Q143*4</f>
        <v>30.8</v>
      </c>
      <c r="U143" s="11">
        <f>R143*4</f>
        <v>26.8</v>
      </c>
      <c r="V143" s="12">
        <f>(4/3)*3.14*(U143/2)^3</f>
        <v>10073.555413333333</v>
      </c>
      <c r="W143" s="12">
        <f>V143/1000</f>
        <v>10.073555413333333</v>
      </c>
    </row>
    <row r="144" spans="1:23" x14ac:dyDescent="0.25">
      <c r="A144" s="7">
        <v>143</v>
      </c>
      <c r="B144" s="8" t="s">
        <v>179</v>
      </c>
      <c r="C144" s="8" t="s">
        <v>218</v>
      </c>
      <c r="D144" s="7" t="s">
        <v>214</v>
      </c>
      <c r="E144" s="8" t="s">
        <v>51</v>
      </c>
      <c r="F144" s="7">
        <v>850</v>
      </c>
      <c r="G144" s="7">
        <v>1400</v>
      </c>
      <c r="H144" s="7">
        <f>(F144+G144)/2</f>
        <v>1125</v>
      </c>
      <c r="I144" s="9">
        <v>7</v>
      </c>
      <c r="J144" s="10" t="s">
        <v>34</v>
      </c>
      <c r="K144" s="8" t="s">
        <v>27</v>
      </c>
      <c r="L144" s="8" t="s">
        <v>28</v>
      </c>
      <c r="M144" s="8" t="s">
        <v>39</v>
      </c>
      <c r="N144" s="8"/>
      <c r="O144" s="8" t="s">
        <v>40</v>
      </c>
      <c r="P144" s="11">
        <v>5.6</v>
      </c>
      <c r="Q144" s="11">
        <v>3.2</v>
      </c>
      <c r="R144" s="11">
        <v>7.4</v>
      </c>
      <c r="S144" s="11">
        <f>P144*4</f>
        <v>22.4</v>
      </c>
      <c r="T144" s="11">
        <f>Q144*4</f>
        <v>12.8</v>
      </c>
      <c r="U144" s="11">
        <f>R144*4</f>
        <v>29.6</v>
      </c>
      <c r="V144" s="12">
        <f>4/3*3.14*U144^2*T144</f>
        <v>46952.83029333334</v>
      </c>
      <c r="W144" s="12">
        <f>V144/1000</f>
        <v>46.952830293333342</v>
      </c>
    </row>
    <row r="145" spans="1:23" x14ac:dyDescent="0.25">
      <c r="A145" s="7">
        <v>144</v>
      </c>
      <c r="B145" s="8" t="s">
        <v>179</v>
      </c>
      <c r="C145" s="8" t="s">
        <v>219</v>
      </c>
      <c r="D145" s="7" t="s">
        <v>214</v>
      </c>
      <c r="E145" s="8" t="s">
        <v>51</v>
      </c>
      <c r="F145" s="7">
        <v>850</v>
      </c>
      <c r="G145" s="7">
        <v>1400</v>
      </c>
      <c r="H145" s="7">
        <f>(F145+G145)/2</f>
        <v>1125</v>
      </c>
      <c r="I145" s="9">
        <v>4</v>
      </c>
      <c r="J145" s="10" t="s">
        <v>34</v>
      </c>
      <c r="K145" s="8" t="s">
        <v>220</v>
      </c>
      <c r="L145" s="8" t="s">
        <v>220</v>
      </c>
      <c r="M145" s="8" t="s">
        <v>39</v>
      </c>
      <c r="N145" s="8"/>
      <c r="O145" s="8" t="s">
        <v>40</v>
      </c>
      <c r="P145" s="11">
        <v>8</v>
      </c>
      <c r="Q145" s="11">
        <v>4.2</v>
      </c>
      <c r="R145" s="11">
        <v>8</v>
      </c>
      <c r="S145" s="11">
        <f>P145*4</f>
        <v>32</v>
      </c>
      <c r="T145" s="11">
        <f>Q145*4</f>
        <v>16.8</v>
      </c>
      <c r="U145" s="11">
        <f>R145*4</f>
        <v>32</v>
      </c>
      <c r="V145" s="12">
        <f>(2/3)*3.14*(U145/2)^3</f>
        <v>8574.2933333333331</v>
      </c>
      <c r="W145" s="12">
        <f>V145/1000</f>
        <v>8.5742933333333333</v>
      </c>
    </row>
    <row r="146" spans="1:23" x14ac:dyDescent="0.25">
      <c r="A146" s="7">
        <v>145</v>
      </c>
      <c r="B146" s="8" t="s">
        <v>179</v>
      </c>
      <c r="C146" s="8" t="s">
        <v>221</v>
      </c>
      <c r="D146" s="7" t="s">
        <v>214</v>
      </c>
      <c r="E146" s="8" t="s">
        <v>51</v>
      </c>
      <c r="F146" s="7">
        <v>850</v>
      </c>
      <c r="G146" s="7">
        <v>1400</v>
      </c>
      <c r="H146" s="7">
        <f>(F146+G146)/2</f>
        <v>1125</v>
      </c>
      <c r="I146" s="9">
        <v>7</v>
      </c>
      <c r="J146" s="10" t="s">
        <v>32</v>
      </c>
      <c r="K146" s="8" t="s">
        <v>27</v>
      </c>
      <c r="L146" s="8" t="s">
        <v>28</v>
      </c>
      <c r="M146" s="8" t="s">
        <v>39</v>
      </c>
      <c r="N146" s="8"/>
      <c r="O146" s="8" t="s">
        <v>71</v>
      </c>
      <c r="P146" s="11">
        <v>8.6999999999999993</v>
      </c>
      <c r="Q146" s="11">
        <v>4.0999999999999996</v>
      </c>
      <c r="R146" s="11">
        <v>9.4</v>
      </c>
      <c r="S146" s="11">
        <f>P146*4</f>
        <v>34.799999999999997</v>
      </c>
      <c r="T146" s="11">
        <f>Q146*4</f>
        <v>16.399999999999999</v>
      </c>
      <c r="U146" s="11">
        <f>R146*4</f>
        <v>37.6</v>
      </c>
      <c r="V146" s="12">
        <f>4/3*3.14*U146^2*T146</f>
        <v>97070.646613333331</v>
      </c>
      <c r="W146" s="12">
        <f>V146/1000</f>
        <v>97.070646613333324</v>
      </c>
    </row>
    <row r="147" spans="1:23" x14ac:dyDescent="0.25">
      <c r="A147" s="7">
        <v>146</v>
      </c>
      <c r="B147" s="8" t="s">
        <v>179</v>
      </c>
      <c r="C147" s="8" t="s">
        <v>222</v>
      </c>
      <c r="D147" s="7" t="s">
        <v>214</v>
      </c>
      <c r="E147" s="8" t="s">
        <v>51</v>
      </c>
      <c r="F147" s="7">
        <v>850</v>
      </c>
      <c r="G147" s="7">
        <v>1400</v>
      </c>
      <c r="H147" s="7">
        <f>(F147+G147)/2</f>
        <v>1125</v>
      </c>
      <c r="I147" s="9">
        <v>7</v>
      </c>
      <c r="J147" s="10" t="s">
        <v>26</v>
      </c>
      <c r="K147" s="8" t="s">
        <v>108</v>
      </c>
      <c r="L147" s="8" t="s">
        <v>109</v>
      </c>
      <c r="M147" s="8" t="s">
        <v>39</v>
      </c>
      <c r="N147" s="8"/>
      <c r="O147" s="8" t="s">
        <v>40</v>
      </c>
      <c r="P147" s="11">
        <v>5.0999999999999996</v>
      </c>
      <c r="Q147" s="11">
        <v>3.1</v>
      </c>
      <c r="R147" s="11">
        <v>5.9</v>
      </c>
      <c r="S147" s="11">
        <f>P147*4</f>
        <v>20.399999999999999</v>
      </c>
      <c r="T147" s="11">
        <f>Q147*4</f>
        <v>12.4</v>
      </c>
      <c r="U147" s="11">
        <f>R147*4</f>
        <v>23.6</v>
      </c>
      <c r="V147" s="12">
        <f>4/3*3.14*U147^2*T147</f>
        <v>28914.392746666668</v>
      </c>
      <c r="W147" s="12">
        <f>V147/1000</f>
        <v>28.914392746666667</v>
      </c>
    </row>
    <row r="148" spans="1:23" x14ac:dyDescent="0.25">
      <c r="A148" s="7">
        <v>147</v>
      </c>
      <c r="B148" s="8" t="s">
        <v>179</v>
      </c>
      <c r="C148" s="8" t="s">
        <v>223</v>
      </c>
      <c r="D148" s="7" t="s">
        <v>214</v>
      </c>
      <c r="E148" s="8" t="s">
        <v>51</v>
      </c>
      <c r="F148" s="7">
        <v>850</v>
      </c>
      <c r="G148" s="7">
        <v>1400</v>
      </c>
      <c r="H148" s="7">
        <f>(F148+G148)/2</f>
        <v>1125</v>
      </c>
      <c r="I148" s="9">
        <v>7</v>
      </c>
      <c r="J148" s="10" t="s">
        <v>32</v>
      </c>
      <c r="K148" s="8" t="s">
        <v>108</v>
      </c>
      <c r="L148" s="8" t="s">
        <v>109</v>
      </c>
      <c r="M148" s="8" t="s">
        <v>39</v>
      </c>
      <c r="N148" s="8"/>
      <c r="O148" s="8" t="s">
        <v>40</v>
      </c>
      <c r="P148" s="11">
        <v>8.5</v>
      </c>
      <c r="Q148" s="11">
        <v>4</v>
      </c>
      <c r="R148" s="11">
        <v>9.6999999999999993</v>
      </c>
      <c r="S148" s="11">
        <f>P148*4</f>
        <v>34</v>
      </c>
      <c r="T148" s="11">
        <f>Q148*4</f>
        <v>16</v>
      </c>
      <c r="U148" s="11">
        <f>R148*4</f>
        <v>38.799999999999997</v>
      </c>
      <c r="V148" s="12">
        <f>4/3*3.14*U148^2*T148</f>
        <v>100844.40746666666</v>
      </c>
      <c r="W148" s="12">
        <f>V148/1000</f>
        <v>100.84440746666665</v>
      </c>
    </row>
    <row r="149" spans="1:23" x14ac:dyDescent="0.25">
      <c r="A149" s="7">
        <v>148</v>
      </c>
      <c r="B149" s="8" t="s">
        <v>179</v>
      </c>
      <c r="C149" s="8" t="s">
        <v>224</v>
      </c>
      <c r="D149" s="7" t="s">
        <v>214</v>
      </c>
      <c r="E149" s="8" t="s">
        <v>51</v>
      </c>
      <c r="F149" s="7">
        <v>850</v>
      </c>
      <c r="G149" s="7">
        <v>1400</v>
      </c>
      <c r="H149" s="7">
        <f>(F149+G149)/2</f>
        <v>1125</v>
      </c>
      <c r="I149" s="9">
        <v>3</v>
      </c>
      <c r="J149" s="10" t="s">
        <v>34</v>
      </c>
      <c r="K149" s="8" t="s">
        <v>42</v>
      </c>
      <c r="L149" s="8" t="s">
        <v>43</v>
      </c>
      <c r="M149" s="8" t="s">
        <v>39</v>
      </c>
      <c r="N149" s="8"/>
      <c r="O149" s="8" t="s">
        <v>40</v>
      </c>
      <c r="P149" s="11">
        <v>7.7</v>
      </c>
      <c r="Q149" s="11">
        <v>4.5</v>
      </c>
      <c r="R149" s="11">
        <v>7.6</v>
      </c>
      <c r="S149" s="11">
        <f>P149*4</f>
        <v>30.8</v>
      </c>
      <c r="T149" s="11">
        <f>Q149*4</f>
        <v>18</v>
      </c>
      <c r="U149" s="11">
        <f>R149*4</f>
        <v>30.4</v>
      </c>
      <c r="V149" s="12">
        <f>4/3*3.14*U149^2*T149</f>
        <v>69644.6976</v>
      </c>
      <c r="W149" s="12">
        <f>V149/1000</f>
        <v>69.644697600000001</v>
      </c>
    </row>
    <row r="150" spans="1:23" x14ac:dyDescent="0.25">
      <c r="A150" s="7">
        <v>149</v>
      </c>
      <c r="B150" s="8" t="s">
        <v>179</v>
      </c>
      <c r="C150" s="8" t="s">
        <v>225</v>
      </c>
      <c r="D150" s="7" t="s">
        <v>214</v>
      </c>
      <c r="E150" s="8" t="s">
        <v>51</v>
      </c>
      <c r="F150" s="7">
        <v>850</v>
      </c>
      <c r="G150" s="7">
        <v>1400</v>
      </c>
      <c r="H150" s="7">
        <f>(F150+G150)/2</f>
        <v>1125</v>
      </c>
      <c r="I150" s="9">
        <v>7</v>
      </c>
      <c r="J150" s="10" t="s">
        <v>34</v>
      </c>
      <c r="K150" s="8" t="s">
        <v>101</v>
      </c>
      <c r="L150" s="8" t="s">
        <v>101</v>
      </c>
      <c r="M150" s="8" t="s">
        <v>39</v>
      </c>
      <c r="N150" s="8"/>
      <c r="O150" s="8" t="s">
        <v>71</v>
      </c>
      <c r="P150" s="11">
        <v>7.6</v>
      </c>
      <c r="Q150" s="11">
        <v>3.6</v>
      </c>
      <c r="R150" s="11">
        <v>7.8</v>
      </c>
      <c r="S150" s="11">
        <f>P150*4</f>
        <v>30.4</v>
      </c>
      <c r="T150" s="11">
        <f>Q150*4</f>
        <v>14.4</v>
      </c>
      <c r="U150" s="11">
        <f>R150*4</f>
        <v>31.2</v>
      </c>
      <c r="V150" s="12">
        <f>4/3*3.14*U150^2*T150</f>
        <v>58686.750719999996</v>
      </c>
      <c r="W150" s="12">
        <f>V150/1000</f>
        <v>58.686750719999999</v>
      </c>
    </row>
    <row r="151" spans="1:23" x14ac:dyDescent="0.25">
      <c r="A151" s="7">
        <v>150</v>
      </c>
      <c r="B151" s="8" t="s">
        <v>179</v>
      </c>
      <c r="C151" s="8" t="s">
        <v>226</v>
      </c>
      <c r="D151" s="7" t="s">
        <v>214</v>
      </c>
      <c r="E151" s="8" t="s">
        <v>51</v>
      </c>
      <c r="F151" s="7">
        <v>850</v>
      </c>
      <c r="G151" s="7">
        <v>1400</v>
      </c>
      <c r="H151" s="7">
        <f>(F151+G151)/2</f>
        <v>1125</v>
      </c>
      <c r="I151" s="9">
        <v>2</v>
      </c>
      <c r="J151" s="10" t="s">
        <v>34</v>
      </c>
      <c r="K151" s="8" t="s">
        <v>101</v>
      </c>
      <c r="L151" s="8" t="s">
        <v>101</v>
      </c>
      <c r="M151" s="8" t="s">
        <v>39</v>
      </c>
      <c r="N151" s="8"/>
      <c r="O151" s="8" t="s">
        <v>40</v>
      </c>
      <c r="P151" s="11">
        <v>6.4</v>
      </c>
      <c r="Q151" s="11">
        <v>2.5</v>
      </c>
      <c r="R151" s="11">
        <v>6.4</v>
      </c>
      <c r="S151" s="11">
        <f>P151*4</f>
        <v>25.6</v>
      </c>
      <c r="T151" s="11">
        <f>Q151*4</f>
        <v>10</v>
      </c>
      <c r="U151" s="11">
        <f>R151*4</f>
        <v>25.6</v>
      </c>
      <c r="V151" s="12">
        <f>(1/3)*3.14*T151^2*(3*(U151/2)-T151)</f>
        <v>2972.5333333333338</v>
      </c>
      <c r="W151" s="12">
        <f>V151/1000</f>
        <v>2.9725333333333337</v>
      </c>
    </row>
    <row r="152" spans="1:23" x14ac:dyDescent="0.25">
      <c r="A152" s="7">
        <v>151</v>
      </c>
      <c r="B152" s="8" t="s">
        <v>179</v>
      </c>
      <c r="C152" s="8" t="s">
        <v>227</v>
      </c>
      <c r="D152" s="7" t="s">
        <v>214</v>
      </c>
      <c r="E152" s="8" t="s">
        <v>51</v>
      </c>
      <c r="F152" s="7">
        <v>850</v>
      </c>
      <c r="G152" s="7">
        <v>1400</v>
      </c>
      <c r="H152" s="7">
        <f>(F152+G152)/2</f>
        <v>1125</v>
      </c>
      <c r="I152" s="9">
        <v>2</v>
      </c>
      <c r="J152" s="10" t="s">
        <v>34</v>
      </c>
      <c r="K152" s="8" t="s">
        <v>228</v>
      </c>
      <c r="L152" s="8" t="s">
        <v>228</v>
      </c>
      <c r="M152" s="8" t="s">
        <v>39</v>
      </c>
      <c r="N152" s="8" t="s">
        <v>99</v>
      </c>
      <c r="O152" s="8" t="s">
        <v>40</v>
      </c>
      <c r="P152" s="11">
        <v>8.5</v>
      </c>
      <c r="Q152" s="11">
        <v>3.1</v>
      </c>
      <c r="R152" s="11">
        <v>8.5</v>
      </c>
      <c r="S152" s="11">
        <f>P152*4</f>
        <v>34</v>
      </c>
      <c r="T152" s="11">
        <f>Q152*4</f>
        <v>12.4</v>
      </c>
      <c r="U152" s="11">
        <f>R152*4</f>
        <v>34</v>
      </c>
      <c r="V152" s="12">
        <f>(1/3)*3.14*T152^2*(3*(U152/2)-T152)</f>
        <v>6212.1090133333346</v>
      </c>
      <c r="W152" s="12">
        <f>V152/1000</f>
        <v>6.2121090133333343</v>
      </c>
    </row>
    <row r="153" spans="1:23" x14ac:dyDescent="0.25">
      <c r="A153" s="7">
        <v>152</v>
      </c>
      <c r="B153" s="8" t="s">
        <v>179</v>
      </c>
      <c r="C153" s="8" t="s">
        <v>229</v>
      </c>
      <c r="D153" s="7" t="s">
        <v>214</v>
      </c>
      <c r="E153" s="8" t="s">
        <v>51</v>
      </c>
      <c r="F153" s="7">
        <v>850</v>
      </c>
      <c r="G153" s="7">
        <v>1400</v>
      </c>
      <c r="H153" s="7">
        <f>(F153+G153)/2</f>
        <v>1125</v>
      </c>
      <c r="I153" s="9">
        <v>7</v>
      </c>
      <c r="J153" s="10" t="s">
        <v>32</v>
      </c>
      <c r="K153" s="8" t="s">
        <v>27</v>
      </c>
      <c r="L153" s="8" t="s">
        <v>28</v>
      </c>
      <c r="M153" s="8" t="s">
        <v>230</v>
      </c>
      <c r="N153" s="8" t="s">
        <v>99</v>
      </c>
      <c r="O153" s="8" t="s">
        <v>71</v>
      </c>
      <c r="P153" s="11">
        <v>8.1</v>
      </c>
      <c r="Q153" s="11">
        <v>3.4</v>
      </c>
      <c r="R153" s="11">
        <v>9.3000000000000007</v>
      </c>
      <c r="S153" s="11">
        <f>P153*4</f>
        <v>32.4</v>
      </c>
      <c r="T153" s="11">
        <f>Q153*4</f>
        <v>13.6</v>
      </c>
      <c r="U153" s="11">
        <f>R153*4</f>
        <v>37.200000000000003</v>
      </c>
      <c r="V153" s="12">
        <f>4/3*3.14*U153^2*T153</f>
        <v>78794.004480000003</v>
      </c>
      <c r="W153" s="12">
        <f>V153/1000</f>
        <v>78.794004479999998</v>
      </c>
    </row>
    <row r="154" spans="1:23" x14ac:dyDescent="0.25">
      <c r="A154" s="7">
        <v>153</v>
      </c>
      <c r="B154" s="8" t="s">
        <v>179</v>
      </c>
      <c r="C154" s="8" t="s">
        <v>231</v>
      </c>
      <c r="D154" s="7" t="s">
        <v>214</v>
      </c>
      <c r="E154" s="8" t="s">
        <v>51</v>
      </c>
      <c r="F154" s="7">
        <v>850</v>
      </c>
      <c r="G154" s="7">
        <v>1400</v>
      </c>
      <c r="H154" s="7">
        <f>(F154+G154)/2</f>
        <v>1125</v>
      </c>
      <c r="I154" s="9">
        <v>7</v>
      </c>
      <c r="J154" s="10" t="s">
        <v>32</v>
      </c>
      <c r="K154" s="8" t="s">
        <v>27</v>
      </c>
      <c r="L154" s="8" t="s">
        <v>28</v>
      </c>
      <c r="M154" s="8" t="s">
        <v>39</v>
      </c>
      <c r="N154" s="8" t="s">
        <v>99</v>
      </c>
      <c r="O154" s="8" t="s">
        <v>40</v>
      </c>
      <c r="P154" s="11">
        <v>8.6999999999999993</v>
      </c>
      <c r="Q154" s="11">
        <v>3.8</v>
      </c>
      <c r="R154" s="11">
        <v>9.6999999999999993</v>
      </c>
      <c r="S154" s="11">
        <f>P154*4</f>
        <v>34.799999999999997</v>
      </c>
      <c r="T154" s="11">
        <f>Q154*4</f>
        <v>15.2</v>
      </c>
      <c r="U154" s="11">
        <f>R154*4</f>
        <v>38.799999999999997</v>
      </c>
      <c r="V154" s="12">
        <f>4/3*3.14*U154^2*T154</f>
        <v>95802.187093333312</v>
      </c>
      <c r="W154" s="12">
        <f>V154/1000</f>
        <v>95.802187093333316</v>
      </c>
    </row>
    <row r="155" spans="1:23" x14ac:dyDescent="0.25">
      <c r="A155" s="7">
        <v>154</v>
      </c>
      <c r="B155" s="8" t="s">
        <v>179</v>
      </c>
      <c r="C155" s="8" t="s">
        <v>232</v>
      </c>
      <c r="D155" s="7" t="s">
        <v>214</v>
      </c>
      <c r="E155" s="8" t="s">
        <v>51</v>
      </c>
      <c r="F155" s="7">
        <v>850</v>
      </c>
      <c r="G155" s="7">
        <v>1400</v>
      </c>
      <c r="H155" s="7">
        <f>(F155+G155)/2</f>
        <v>1125</v>
      </c>
      <c r="I155" s="9">
        <v>7</v>
      </c>
      <c r="J155" s="10" t="s">
        <v>32</v>
      </c>
      <c r="K155" s="8" t="s">
        <v>27</v>
      </c>
      <c r="L155" s="8" t="s">
        <v>28</v>
      </c>
      <c r="M155" s="8" t="s">
        <v>39</v>
      </c>
      <c r="N155" s="8" t="s">
        <v>99</v>
      </c>
      <c r="O155" s="8" t="s">
        <v>40</v>
      </c>
      <c r="P155" s="11">
        <v>9.4</v>
      </c>
      <c r="Q155" s="11">
        <v>4.4000000000000004</v>
      </c>
      <c r="R155" s="11">
        <v>10.7</v>
      </c>
      <c r="S155" s="11">
        <f>P155*4</f>
        <v>37.6</v>
      </c>
      <c r="T155" s="11">
        <f>Q155*4</f>
        <v>17.600000000000001</v>
      </c>
      <c r="U155" s="11">
        <f>R155*4</f>
        <v>42.8</v>
      </c>
      <c r="V155" s="12">
        <f>4/3*3.14*U155^2*T155</f>
        <v>134979.74101333332</v>
      </c>
      <c r="W155" s="12">
        <f>V155/1000</f>
        <v>134.97974101333332</v>
      </c>
    </row>
    <row r="156" spans="1:23" x14ac:dyDescent="0.25">
      <c r="A156" s="7">
        <v>155</v>
      </c>
      <c r="B156" s="8" t="s">
        <v>179</v>
      </c>
      <c r="C156" s="8" t="s">
        <v>233</v>
      </c>
      <c r="D156" s="7" t="s">
        <v>214</v>
      </c>
      <c r="E156" s="8" t="s">
        <v>51</v>
      </c>
      <c r="F156" s="7">
        <v>850</v>
      </c>
      <c r="G156" s="7">
        <v>1400</v>
      </c>
      <c r="H156" s="7">
        <f>(F156+G156)/2</f>
        <v>1125</v>
      </c>
      <c r="I156" s="9">
        <v>2</v>
      </c>
      <c r="J156" s="10" t="s">
        <v>34</v>
      </c>
      <c r="K156" s="8" t="s">
        <v>77</v>
      </c>
      <c r="L156" s="8" t="s">
        <v>77</v>
      </c>
      <c r="M156" s="8" t="s">
        <v>39</v>
      </c>
      <c r="N156" s="8"/>
      <c r="O156" s="8" t="s">
        <v>40</v>
      </c>
      <c r="P156" s="11">
        <v>7.6</v>
      </c>
      <c r="Q156" s="11">
        <v>2.6</v>
      </c>
      <c r="R156" s="11">
        <v>7.6</v>
      </c>
      <c r="S156" s="11">
        <f>P156*4</f>
        <v>30.4</v>
      </c>
      <c r="T156" s="11">
        <f>Q156*4</f>
        <v>10.4</v>
      </c>
      <c r="U156" s="11">
        <f>R156*4</f>
        <v>30.4</v>
      </c>
      <c r="V156" s="12">
        <f>(1/3)*3.14*T156^2*(3*(U156/2)-T156)</f>
        <v>3984.9028266666664</v>
      </c>
      <c r="W156" s="12">
        <f>V156/1000</f>
        <v>3.9849028266666666</v>
      </c>
    </row>
    <row r="157" spans="1:23" x14ac:dyDescent="0.25">
      <c r="A157" s="7">
        <v>156</v>
      </c>
      <c r="B157" s="8" t="s">
        <v>179</v>
      </c>
      <c r="C157" s="8" t="s">
        <v>234</v>
      </c>
      <c r="D157" s="7" t="s">
        <v>214</v>
      </c>
      <c r="E157" s="8" t="s">
        <v>51</v>
      </c>
      <c r="F157" s="7">
        <v>850</v>
      </c>
      <c r="G157" s="7">
        <v>1400</v>
      </c>
      <c r="H157" s="7">
        <f>(F157+G157)/2</f>
        <v>1125</v>
      </c>
      <c r="I157" s="9">
        <v>8</v>
      </c>
      <c r="J157" s="10" t="s">
        <v>34</v>
      </c>
      <c r="K157" s="8" t="s">
        <v>27</v>
      </c>
      <c r="L157" s="8" t="s">
        <v>28</v>
      </c>
      <c r="M157" s="8" t="s">
        <v>39</v>
      </c>
      <c r="N157" s="8"/>
      <c r="O157" s="8" t="s">
        <v>40</v>
      </c>
      <c r="P157" s="11">
        <v>8.6</v>
      </c>
      <c r="Q157" s="11">
        <v>2.1</v>
      </c>
      <c r="R157" s="11">
        <v>8.6</v>
      </c>
      <c r="S157" s="11">
        <f>P157*4</f>
        <v>34.4</v>
      </c>
      <c r="T157" s="11">
        <f>Q157*4</f>
        <v>8.4</v>
      </c>
      <c r="U157" s="11">
        <f>R157*4</f>
        <v>34.4</v>
      </c>
      <c r="V157" s="12">
        <f>4/3*3.14*U157^2*T157</f>
        <v>41616.404479999997</v>
      </c>
      <c r="W157" s="12">
        <f>V157/1000</f>
        <v>41.61640448</v>
      </c>
    </row>
    <row r="158" spans="1:23" x14ac:dyDescent="0.25">
      <c r="A158" s="7">
        <v>157</v>
      </c>
      <c r="B158" s="8" t="s">
        <v>179</v>
      </c>
      <c r="C158" s="8" t="s">
        <v>235</v>
      </c>
      <c r="D158" s="7" t="s">
        <v>214</v>
      </c>
      <c r="E158" s="8" t="s">
        <v>51</v>
      </c>
      <c r="F158" s="7">
        <v>850</v>
      </c>
      <c r="G158" s="7">
        <v>1400</v>
      </c>
      <c r="H158" s="7">
        <f>(F158+G158)/2</f>
        <v>1125</v>
      </c>
      <c r="I158" s="9">
        <v>7</v>
      </c>
      <c r="J158" s="10" t="s">
        <v>34</v>
      </c>
      <c r="K158" s="8" t="s">
        <v>27</v>
      </c>
      <c r="L158" s="8" t="s">
        <v>28</v>
      </c>
      <c r="M158" s="8" t="s">
        <v>39</v>
      </c>
      <c r="N158" s="8" t="s">
        <v>99</v>
      </c>
      <c r="O158" s="8" t="s">
        <v>40</v>
      </c>
      <c r="P158" s="11">
        <v>6.8</v>
      </c>
      <c r="Q158" s="11">
        <v>3</v>
      </c>
      <c r="R158" s="11">
        <v>8.1999999999999993</v>
      </c>
      <c r="S158" s="11">
        <f>P158*4</f>
        <v>27.2</v>
      </c>
      <c r="T158" s="11">
        <f>Q158*4</f>
        <v>12</v>
      </c>
      <c r="U158" s="11">
        <f>R158*4</f>
        <v>32.799999999999997</v>
      </c>
      <c r="V158" s="12">
        <f>4/3*3.14*U158^2*T158</f>
        <v>54050.2016</v>
      </c>
      <c r="W158" s="12">
        <f>V158/1000</f>
        <v>54.050201600000001</v>
      </c>
    </row>
    <row r="159" spans="1:23" x14ac:dyDescent="0.25">
      <c r="A159" s="7">
        <v>158</v>
      </c>
      <c r="B159" s="8" t="s">
        <v>179</v>
      </c>
      <c r="C159" s="8" t="s">
        <v>236</v>
      </c>
      <c r="D159" s="7" t="s">
        <v>214</v>
      </c>
      <c r="E159" s="8" t="s">
        <v>51</v>
      </c>
      <c r="F159" s="7">
        <v>850</v>
      </c>
      <c r="G159" s="7">
        <v>1400</v>
      </c>
      <c r="H159" s="7">
        <f>(F159+G159)/2</f>
        <v>1125</v>
      </c>
      <c r="I159" s="9">
        <v>7</v>
      </c>
      <c r="J159" s="10" t="s">
        <v>32</v>
      </c>
      <c r="K159" s="8" t="s">
        <v>27</v>
      </c>
      <c r="L159" s="8" t="s">
        <v>28</v>
      </c>
      <c r="M159" s="8" t="s">
        <v>39</v>
      </c>
      <c r="N159" s="8"/>
      <c r="O159" s="8" t="s">
        <v>40</v>
      </c>
      <c r="P159" s="11">
        <v>8.3000000000000007</v>
      </c>
      <c r="Q159" s="11">
        <v>4.9000000000000004</v>
      </c>
      <c r="R159" s="11">
        <v>9.6999999999999993</v>
      </c>
      <c r="S159" s="11">
        <f>P159*4</f>
        <v>33.200000000000003</v>
      </c>
      <c r="T159" s="11">
        <f>Q159*4</f>
        <v>19.600000000000001</v>
      </c>
      <c r="U159" s="11">
        <f>R159*4</f>
        <v>38.799999999999997</v>
      </c>
      <c r="V159" s="12">
        <f>4/3*3.14*U159^2*T159</f>
        <v>123534.39914666666</v>
      </c>
      <c r="W159" s="12">
        <f>V159/1000</f>
        <v>123.53439914666666</v>
      </c>
    </row>
    <row r="160" spans="1:23" x14ac:dyDescent="0.25">
      <c r="A160" s="7">
        <v>159</v>
      </c>
      <c r="B160" s="8" t="s">
        <v>179</v>
      </c>
      <c r="C160" s="8" t="s">
        <v>237</v>
      </c>
      <c r="D160" s="7" t="s">
        <v>214</v>
      </c>
      <c r="E160" s="8" t="s">
        <v>51</v>
      </c>
      <c r="F160" s="7">
        <v>850</v>
      </c>
      <c r="G160" s="7">
        <v>1400</v>
      </c>
      <c r="H160" s="7">
        <f>(F160+G160)/2</f>
        <v>1125</v>
      </c>
      <c r="I160" s="9">
        <v>7</v>
      </c>
      <c r="J160" s="10" t="s">
        <v>32</v>
      </c>
      <c r="K160" s="8" t="s">
        <v>27</v>
      </c>
      <c r="L160" s="8" t="s">
        <v>28</v>
      </c>
      <c r="M160" s="8" t="s">
        <v>39</v>
      </c>
      <c r="N160" s="8"/>
      <c r="O160" s="8" t="s">
        <v>71</v>
      </c>
      <c r="P160" s="11">
        <v>8.4</v>
      </c>
      <c r="Q160" s="11">
        <v>5.3</v>
      </c>
      <c r="R160" s="11">
        <v>10.199999999999999</v>
      </c>
      <c r="S160" s="11">
        <f>P160*4</f>
        <v>33.6</v>
      </c>
      <c r="T160" s="11">
        <f>Q160*4</f>
        <v>21.2</v>
      </c>
      <c r="U160" s="11">
        <f>R160*4</f>
        <v>40.799999999999997</v>
      </c>
      <c r="V160" s="12">
        <f>4/3*3.14*U160^2*T160</f>
        <v>147749.00735999999</v>
      </c>
      <c r="W160" s="12">
        <f>V160/1000</f>
        <v>147.74900735999998</v>
      </c>
    </row>
    <row r="161" spans="1:23" x14ac:dyDescent="0.25">
      <c r="A161" s="7">
        <v>160</v>
      </c>
      <c r="B161" s="8" t="s">
        <v>179</v>
      </c>
      <c r="C161" s="8" t="s">
        <v>238</v>
      </c>
      <c r="D161" s="7" t="s">
        <v>214</v>
      </c>
      <c r="E161" s="8" t="s">
        <v>51</v>
      </c>
      <c r="F161" s="7">
        <v>850</v>
      </c>
      <c r="G161" s="7">
        <v>1400</v>
      </c>
      <c r="H161" s="7">
        <f>(F161+G161)/2</f>
        <v>1125</v>
      </c>
      <c r="I161" s="9">
        <v>5</v>
      </c>
      <c r="J161" s="10" t="s">
        <v>32</v>
      </c>
      <c r="K161" s="8" t="s">
        <v>239</v>
      </c>
      <c r="L161" s="8" t="s">
        <v>43</v>
      </c>
      <c r="M161" s="8"/>
      <c r="N161" s="8"/>
      <c r="O161" s="8" t="s">
        <v>29</v>
      </c>
      <c r="P161" s="11">
        <v>8</v>
      </c>
      <c r="Q161" s="11">
        <v>9.5</v>
      </c>
      <c r="R161" s="11">
        <v>9.1999999999999993</v>
      </c>
      <c r="S161" s="11">
        <f>P161*4</f>
        <v>32</v>
      </c>
      <c r="T161" s="11">
        <f>Q161*4</f>
        <v>38</v>
      </c>
      <c r="U161" s="11">
        <f>R161*4</f>
        <v>36.799999999999997</v>
      </c>
      <c r="V161" s="12">
        <f>(4/3)*3.14*(U161/2)^3</f>
        <v>26080.856746666657</v>
      </c>
      <c r="W161" s="12">
        <f>V161/1000</f>
        <v>26.080856746666658</v>
      </c>
    </row>
    <row r="162" spans="1:23" x14ac:dyDescent="0.25">
      <c r="A162" s="7">
        <v>161</v>
      </c>
      <c r="B162" s="8" t="s">
        <v>179</v>
      </c>
      <c r="C162" s="8" t="s">
        <v>240</v>
      </c>
      <c r="D162" s="7" t="s">
        <v>214</v>
      </c>
      <c r="E162" s="8" t="s">
        <v>51</v>
      </c>
      <c r="F162" s="7">
        <v>850</v>
      </c>
      <c r="G162" s="7">
        <v>1400</v>
      </c>
      <c r="H162" s="7">
        <f>(F162+G162)/2</f>
        <v>1125</v>
      </c>
      <c r="I162" s="9">
        <v>4</v>
      </c>
      <c r="J162" s="10" t="s">
        <v>34</v>
      </c>
      <c r="K162" s="8" t="s">
        <v>77</v>
      </c>
      <c r="L162" s="8" t="s">
        <v>77</v>
      </c>
      <c r="M162" s="8"/>
      <c r="N162" s="8"/>
      <c r="O162" s="8" t="s">
        <v>29</v>
      </c>
      <c r="P162" s="11">
        <v>8.1999999999999993</v>
      </c>
      <c r="Q162" s="11">
        <v>6.9</v>
      </c>
      <c r="R162" s="11">
        <v>8.1999999999999993</v>
      </c>
      <c r="S162" s="11">
        <f>P162*4</f>
        <v>32.799999999999997</v>
      </c>
      <c r="T162" s="11">
        <f>Q162*4</f>
        <v>27.6</v>
      </c>
      <c r="U162" s="11">
        <f>R162*4</f>
        <v>32.799999999999997</v>
      </c>
      <c r="V162" s="12">
        <f>(2/3)*3.14*(U162/2)^3</f>
        <v>9233.5761066666655</v>
      </c>
      <c r="W162" s="12">
        <f>V162/1000</f>
        <v>9.233576106666666</v>
      </c>
    </row>
    <row r="163" spans="1:23" x14ac:dyDescent="0.25">
      <c r="A163" s="7">
        <v>162</v>
      </c>
      <c r="B163" s="8" t="s">
        <v>179</v>
      </c>
      <c r="C163" s="8" t="s">
        <v>241</v>
      </c>
      <c r="D163" s="7" t="s">
        <v>214</v>
      </c>
      <c r="E163" s="8" t="s">
        <v>51</v>
      </c>
      <c r="F163" s="7">
        <v>850</v>
      </c>
      <c r="G163" s="7">
        <v>1400</v>
      </c>
      <c r="H163" s="7">
        <f>(F163+G163)/2</f>
        <v>1125</v>
      </c>
      <c r="I163" s="9">
        <v>5</v>
      </c>
      <c r="J163" s="10" t="s">
        <v>32</v>
      </c>
      <c r="K163" s="8" t="s">
        <v>77</v>
      </c>
      <c r="L163" s="8" t="s">
        <v>77</v>
      </c>
      <c r="M163" s="8"/>
      <c r="N163" s="8"/>
      <c r="O163" s="8" t="s">
        <v>29</v>
      </c>
      <c r="P163" s="11">
        <v>8.6</v>
      </c>
      <c r="Q163" s="11">
        <v>8</v>
      </c>
      <c r="R163" s="11">
        <v>8.9</v>
      </c>
      <c r="S163" s="11">
        <f>P163*4</f>
        <v>34.4</v>
      </c>
      <c r="T163" s="11">
        <f>Q163*4</f>
        <v>32</v>
      </c>
      <c r="U163" s="11">
        <f>R163*4</f>
        <v>35.6</v>
      </c>
      <c r="V163" s="12">
        <f>(4/3)*3.14*(U163/2)^3</f>
        <v>23611.761706666668</v>
      </c>
      <c r="W163" s="12">
        <f>V163/1000</f>
        <v>23.61176170666667</v>
      </c>
    </row>
    <row r="164" spans="1:23" x14ac:dyDescent="0.25">
      <c r="A164" s="7">
        <v>163</v>
      </c>
      <c r="B164" s="8" t="s">
        <v>179</v>
      </c>
      <c r="C164" s="8" t="s">
        <v>242</v>
      </c>
      <c r="D164" s="7" t="s">
        <v>214</v>
      </c>
      <c r="E164" s="8" t="s">
        <v>51</v>
      </c>
      <c r="F164" s="7">
        <v>850</v>
      </c>
      <c r="G164" s="7">
        <v>1400</v>
      </c>
      <c r="H164" s="7">
        <f>(F164+G164)/2</f>
        <v>1125</v>
      </c>
      <c r="I164" s="9">
        <v>2</v>
      </c>
      <c r="J164" s="10" t="s">
        <v>26</v>
      </c>
      <c r="K164" s="8" t="s">
        <v>108</v>
      </c>
      <c r="L164" s="8" t="s">
        <v>109</v>
      </c>
      <c r="M164" s="8" t="s">
        <v>39</v>
      </c>
      <c r="N164" s="8"/>
      <c r="O164" s="8" t="s">
        <v>40</v>
      </c>
      <c r="P164" s="11">
        <v>5.8</v>
      </c>
      <c r="Q164" s="11">
        <v>3.4</v>
      </c>
      <c r="R164" s="11">
        <v>5.8</v>
      </c>
      <c r="S164" s="11">
        <f>P164*4</f>
        <v>23.2</v>
      </c>
      <c r="T164" s="11">
        <f>Q164*4</f>
        <v>13.6</v>
      </c>
      <c r="U164" s="11">
        <f>R164*4</f>
        <v>23.2</v>
      </c>
      <c r="V164" s="12">
        <f>(1/3)*3.14*T164^2*(3*(U164/2)-T164)</f>
        <v>4104.1390933333314</v>
      </c>
      <c r="W164" s="12">
        <f>V164/1000</f>
        <v>4.1041390933333313</v>
      </c>
    </row>
    <row r="165" spans="1:23" x14ac:dyDescent="0.25">
      <c r="A165" s="7">
        <v>164</v>
      </c>
      <c r="B165" s="8" t="s">
        <v>179</v>
      </c>
      <c r="C165" s="8" t="s">
        <v>243</v>
      </c>
      <c r="D165" s="7" t="s">
        <v>195</v>
      </c>
      <c r="E165" s="8" t="s">
        <v>51</v>
      </c>
      <c r="F165" s="7">
        <v>350</v>
      </c>
      <c r="G165" s="7">
        <v>850</v>
      </c>
      <c r="H165" s="7">
        <f>(F165+G165)/2</f>
        <v>600</v>
      </c>
      <c r="I165" s="9">
        <v>7</v>
      </c>
      <c r="J165" s="10" t="s">
        <v>32</v>
      </c>
      <c r="K165" s="8" t="s">
        <v>27</v>
      </c>
      <c r="L165" s="8" t="s">
        <v>28</v>
      </c>
      <c r="M165" s="8" t="s">
        <v>39</v>
      </c>
      <c r="N165" s="8"/>
      <c r="O165" s="8" t="s">
        <v>71</v>
      </c>
      <c r="P165" s="11">
        <v>8.4</v>
      </c>
      <c r="Q165" s="11">
        <v>4.7</v>
      </c>
      <c r="R165" s="11">
        <v>10.5</v>
      </c>
      <c r="S165" s="11">
        <f>P165*4</f>
        <v>33.6</v>
      </c>
      <c r="T165" s="11">
        <f>Q165*4</f>
        <v>18.8</v>
      </c>
      <c r="U165" s="11">
        <f>R165*4</f>
        <v>42</v>
      </c>
      <c r="V165" s="12">
        <f>4/3*3.14*U165^2*T165</f>
        <v>138843.264</v>
      </c>
      <c r="W165" s="12">
        <f>V165/1000</f>
        <v>138.843264</v>
      </c>
    </row>
    <row r="166" spans="1:23" x14ac:dyDescent="0.25">
      <c r="A166" s="7">
        <v>165</v>
      </c>
      <c r="B166" s="8" t="s">
        <v>179</v>
      </c>
      <c r="C166" s="8" t="s">
        <v>244</v>
      </c>
      <c r="D166" s="7" t="s">
        <v>214</v>
      </c>
      <c r="E166" s="8" t="s">
        <v>51</v>
      </c>
      <c r="F166" s="7">
        <v>850</v>
      </c>
      <c r="G166" s="7">
        <v>1400</v>
      </c>
      <c r="H166" s="7">
        <f>(F166+G166)/2</f>
        <v>1125</v>
      </c>
      <c r="I166" s="9">
        <v>10</v>
      </c>
      <c r="J166" s="10" t="s">
        <v>81</v>
      </c>
      <c r="K166" s="8" t="s">
        <v>42</v>
      </c>
      <c r="L166" s="8" t="s">
        <v>43</v>
      </c>
      <c r="M166" s="8" t="s">
        <v>140</v>
      </c>
      <c r="N166" s="8"/>
      <c r="O166" s="8" t="s">
        <v>71</v>
      </c>
      <c r="P166" s="11">
        <v>10.5</v>
      </c>
      <c r="Q166" s="11">
        <v>18.5</v>
      </c>
      <c r="R166" s="11">
        <v>16.100000000000001</v>
      </c>
      <c r="S166" s="11">
        <f>P166*4</f>
        <v>42</v>
      </c>
      <c r="T166" s="11">
        <f>Q166*4</f>
        <v>74</v>
      </c>
      <c r="U166" s="11">
        <f>R166*4</f>
        <v>64.400000000000006</v>
      </c>
      <c r="V166" s="12">
        <f>4/3*3.14*U166^2*T166</f>
        <v>1284907.4261333337</v>
      </c>
      <c r="W166" s="12">
        <f>V166/1000</f>
        <v>1284.9074261333337</v>
      </c>
    </row>
    <row r="167" spans="1:23" x14ac:dyDescent="0.25">
      <c r="A167" s="7">
        <v>166</v>
      </c>
      <c r="B167" s="8" t="s">
        <v>179</v>
      </c>
      <c r="C167" s="8" t="s">
        <v>245</v>
      </c>
      <c r="D167" s="7" t="s">
        <v>195</v>
      </c>
      <c r="E167" s="8" t="s">
        <v>51</v>
      </c>
      <c r="F167" s="7">
        <v>350</v>
      </c>
      <c r="G167" s="7">
        <v>850</v>
      </c>
      <c r="H167" s="7">
        <f>(F167+G167)/2</f>
        <v>600</v>
      </c>
      <c r="I167" s="9">
        <v>9</v>
      </c>
      <c r="J167" s="10" t="s">
        <v>32</v>
      </c>
      <c r="K167" s="8" t="s">
        <v>77</v>
      </c>
      <c r="L167" s="8" t="s">
        <v>77</v>
      </c>
      <c r="M167" s="8" t="s">
        <v>140</v>
      </c>
      <c r="N167" s="8"/>
      <c r="O167" s="8" t="s">
        <v>71</v>
      </c>
      <c r="P167" s="11">
        <v>8.6</v>
      </c>
      <c r="Q167" s="11">
        <v>12</v>
      </c>
      <c r="R167" s="11">
        <v>8.8000000000000007</v>
      </c>
      <c r="S167" s="11">
        <f>P167*4</f>
        <v>34.4</v>
      </c>
      <c r="T167" s="11">
        <f>Q167*4</f>
        <v>48</v>
      </c>
      <c r="U167" s="11">
        <f>R167*4</f>
        <v>35.200000000000003</v>
      </c>
      <c r="V167" s="12">
        <f>4/3*3.14*U167^2*T167</f>
        <v>248997.47840000002</v>
      </c>
      <c r="W167" s="12">
        <f>V167/1000</f>
        <v>248.99747840000003</v>
      </c>
    </row>
    <row r="168" spans="1:23" x14ac:dyDescent="0.25">
      <c r="A168" s="7">
        <v>167</v>
      </c>
      <c r="B168" s="8" t="s">
        <v>179</v>
      </c>
      <c r="C168" s="8" t="s">
        <v>246</v>
      </c>
      <c r="D168" s="7" t="s">
        <v>195</v>
      </c>
      <c r="E168" s="8" t="s">
        <v>51</v>
      </c>
      <c r="F168" s="7">
        <v>350</v>
      </c>
      <c r="G168" s="7">
        <v>850</v>
      </c>
      <c r="H168" s="7">
        <f>(F168+G168)/2</f>
        <v>600</v>
      </c>
      <c r="I168" s="9">
        <v>4</v>
      </c>
      <c r="J168" s="10" t="s">
        <v>32</v>
      </c>
      <c r="K168" s="8" t="s">
        <v>247</v>
      </c>
      <c r="L168" s="8" t="s">
        <v>247</v>
      </c>
      <c r="M168" s="8" t="s">
        <v>39</v>
      </c>
      <c r="N168" s="8"/>
      <c r="O168" s="8" t="s">
        <v>71</v>
      </c>
      <c r="P168" s="11">
        <v>9</v>
      </c>
      <c r="Q168" s="11">
        <v>8.6</v>
      </c>
      <c r="R168" s="11">
        <v>10.4</v>
      </c>
      <c r="S168" s="11">
        <f>P168*4</f>
        <v>36</v>
      </c>
      <c r="T168" s="11">
        <f>Q168*4</f>
        <v>34.4</v>
      </c>
      <c r="U168" s="11">
        <f>R168*4</f>
        <v>41.6</v>
      </c>
      <c r="V168" s="12">
        <f>(2/3)*3.14*(U168/2)^3</f>
        <v>18837.722453333336</v>
      </c>
      <c r="W168" s="12">
        <f>V168/1000</f>
        <v>18.837722453333335</v>
      </c>
    </row>
    <row r="169" spans="1:23" x14ac:dyDescent="0.25">
      <c r="A169" s="7">
        <v>168</v>
      </c>
      <c r="B169" s="8" t="s">
        <v>179</v>
      </c>
      <c r="C169" s="8" t="s">
        <v>248</v>
      </c>
      <c r="D169" s="7" t="s">
        <v>195</v>
      </c>
      <c r="E169" s="8" t="s">
        <v>51</v>
      </c>
      <c r="F169" s="7">
        <v>350</v>
      </c>
      <c r="G169" s="7">
        <v>850</v>
      </c>
      <c r="H169" s="7">
        <f>(F169+G169)/2</f>
        <v>600</v>
      </c>
      <c r="I169" s="9">
        <v>4</v>
      </c>
      <c r="J169" s="10" t="s">
        <v>34</v>
      </c>
      <c r="K169" s="8" t="s">
        <v>247</v>
      </c>
      <c r="L169" s="8" t="s">
        <v>247</v>
      </c>
      <c r="M169" s="8" t="s">
        <v>39</v>
      </c>
      <c r="N169" s="8"/>
      <c r="O169" s="8" t="s">
        <v>71</v>
      </c>
      <c r="P169" s="11">
        <v>8.6999999999999993</v>
      </c>
      <c r="Q169" s="11">
        <v>6.6</v>
      </c>
      <c r="R169" s="11">
        <v>8.6999999999999993</v>
      </c>
      <c r="S169" s="11">
        <f>P169*4</f>
        <v>34.799999999999997</v>
      </c>
      <c r="T169" s="11">
        <f>Q169*4</f>
        <v>26.4</v>
      </c>
      <c r="U169" s="11">
        <f>R169*4</f>
        <v>34.799999999999997</v>
      </c>
      <c r="V169" s="12">
        <f>(2/3)*3.14*(U169/2)^3</f>
        <v>11027.730239999997</v>
      </c>
      <c r="W169" s="12">
        <f>V169/1000</f>
        <v>11.027730239999997</v>
      </c>
    </row>
    <row r="170" spans="1:23" x14ac:dyDescent="0.25">
      <c r="A170" s="7">
        <v>169</v>
      </c>
      <c r="B170" s="8" t="s">
        <v>179</v>
      </c>
      <c r="C170" s="8" t="s">
        <v>249</v>
      </c>
      <c r="D170" s="7" t="s">
        <v>195</v>
      </c>
      <c r="E170" s="8" t="s">
        <v>51</v>
      </c>
      <c r="F170" s="7">
        <v>350</v>
      </c>
      <c r="G170" s="7">
        <v>850</v>
      </c>
      <c r="H170" s="7">
        <f>(F170+G170)/2</f>
        <v>600</v>
      </c>
      <c r="I170" s="9">
        <v>1</v>
      </c>
      <c r="J170" s="10" t="s">
        <v>81</v>
      </c>
      <c r="K170" s="8" t="s">
        <v>77</v>
      </c>
      <c r="L170" s="8" t="s">
        <v>77</v>
      </c>
      <c r="M170" s="8" t="s">
        <v>140</v>
      </c>
      <c r="N170" s="8"/>
      <c r="O170" s="8" t="s">
        <v>71</v>
      </c>
      <c r="P170" s="11">
        <v>12</v>
      </c>
      <c r="Q170" s="11">
        <v>2.2000000000000002</v>
      </c>
      <c r="R170" s="11">
        <v>12</v>
      </c>
      <c r="S170" s="11">
        <f>P170*4</f>
        <v>48</v>
      </c>
      <c r="T170" s="11">
        <f>Q170*4</f>
        <v>8.8000000000000007</v>
      </c>
      <c r="U170" s="11">
        <f>R170*4</f>
        <v>48</v>
      </c>
      <c r="V170" s="12">
        <f>(1/3)*3.14*T170^2*(3*(U170/2)-T170)</f>
        <v>5122.6043733333345</v>
      </c>
      <c r="W170" s="12">
        <f>V170/1000</f>
        <v>5.1226043733333348</v>
      </c>
    </row>
    <row r="171" spans="1:23" x14ac:dyDescent="0.25">
      <c r="A171" s="7">
        <v>170</v>
      </c>
      <c r="B171" s="8" t="s">
        <v>179</v>
      </c>
      <c r="C171" s="8" t="s">
        <v>250</v>
      </c>
      <c r="D171" s="7" t="s">
        <v>195</v>
      </c>
      <c r="E171" s="8" t="s">
        <v>51</v>
      </c>
      <c r="F171" s="7">
        <v>350</v>
      </c>
      <c r="G171" s="7">
        <v>850</v>
      </c>
      <c r="H171" s="7">
        <f>(F171+G171)/2</f>
        <v>600</v>
      </c>
      <c r="I171" s="9">
        <v>9</v>
      </c>
      <c r="J171" s="10" t="s">
        <v>32</v>
      </c>
      <c r="K171" s="8" t="s">
        <v>108</v>
      </c>
      <c r="L171" s="8" t="s">
        <v>109</v>
      </c>
      <c r="M171" s="8" t="s">
        <v>140</v>
      </c>
      <c r="N171" s="8"/>
      <c r="O171" s="8" t="s">
        <v>71</v>
      </c>
      <c r="P171" s="11">
        <v>10.6</v>
      </c>
      <c r="Q171" s="11">
        <v>11.8</v>
      </c>
      <c r="R171" s="11">
        <v>11</v>
      </c>
      <c r="S171" s="11">
        <f>P171*4</f>
        <v>42.4</v>
      </c>
      <c r="T171" s="11">
        <f>Q171*4</f>
        <v>47.2</v>
      </c>
      <c r="U171" s="11">
        <f>R171*4</f>
        <v>44</v>
      </c>
      <c r="V171" s="12">
        <f>4/3*3.14*U171^2*T171</f>
        <v>382574.25066666666</v>
      </c>
      <c r="W171" s="12">
        <f>V171/1000</f>
        <v>382.57425066666667</v>
      </c>
    </row>
    <row r="172" spans="1:23" x14ac:dyDescent="0.25">
      <c r="A172" s="7">
        <v>171</v>
      </c>
      <c r="B172" s="8" t="s">
        <v>179</v>
      </c>
      <c r="C172" s="8" t="s">
        <v>251</v>
      </c>
      <c r="D172" s="7" t="s">
        <v>214</v>
      </c>
      <c r="E172" s="8" t="s">
        <v>51</v>
      </c>
      <c r="F172" s="7">
        <v>850</v>
      </c>
      <c r="G172" s="7">
        <v>1400</v>
      </c>
      <c r="H172" s="7">
        <f>(F172+G172)/2</f>
        <v>1125</v>
      </c>
      <c r="I172" s="9">
        <v>10</v>
      </c>
      <c r="J172" s="10" t="s">
        <v>81</v>
      </c>
      <c r="K172" s="8" t="s">
        <v>108</v>
      </c>
      <c r="L172" s="8" t="s">
        <v>109</v>
      </c>
      <c r="M172" s="8" t="s">
        <v>140</v>
      </c>
      <c r="N172" s="8"/>
      <c r="O172" s="8" t="s">
        <v>71</v>
      </c>
      <c r="P172" s="11">
        <v>12.1</v>
      </c>
      <c r="Q172" s="11">
        <v>18.2</v>
      </c>
      <c r="R172" s="11">
        <v>14.2</v>
      </c>
      <c r="S172" s="11">
        <f>P172*4</f>
        <v>48.4</v>
      </c>
      <c r="T172" s="11">
        <f>Q172*4</f>
        <v>72.8</v>
      </c>
      <c r="U172" s="11">
        <f>R172*4</f>
        <v>56.8</v>
      </c>
      <c r="V172" s="12">
        <f>4/3*3.14*U172^2*T172</f>
        <v>983323.53877333319</v>
      </c>
      <c r="W172" s="12">
        <f>V172/1000</f>
        <v>983.32353877333321</v>
      </c>
    </row>
    <row r="173" spans="1:23" x14ac:dyDescent="0.25">
      <c r="A173" s="7">
        <v>172</v>
      </c>
      <c r="B173" s="8" t="s">
        <v>179</v>
      </c>
      <c r="C173" s="8" t="s">
        <v>252</v>
      </c>
      <c r="D173" s="7" t="s">
        <v>214</v>
      </c>
      <c r="E173" s="8" t="s">
        <v>51</v>
      </c>
      <c r="F173" s="7">
        <v>850</v>
      </c>
      <c r="G173" s="7">
        <v>1400</v>
      </c>
      <c r="H173" s="7">
        <f>(F173+G173)/2</f>
        <v>1125</v>
      </c>
      <c r="I173" s="9">
        <v>5</v>
      </c>
      <c r="J173" s="10" t="s">
        <v>81</v>
      </c>
      <c r="K173" s="8" t="s">
        <v>27</v>
      </c>
      <c r="L173" s="8" t="s">
        <v>28</v>
      </c>
      <c r="M173" s="8" t="s">
        <v>39</v>
      </c>
      <c r="N173" s="8" t="s">
        <v>99</v>
      </c>
      <c r="O173" s="8" t="s">
        <v>71</v>
      </c>
      <c r="P173" s="11">
        <v>10.4</v>
      </c>
      <c r="Q173" s="11">
        <v>13.2</v>
      </c>
      <c r="R173" s="11">
        <v>13.9</v>
      </c>
      <c r="S173" s="11">
        <f>P173*4</f>
        <v>41.6</v>
      </c>
      <c r="T173" s="11">
        <f>Q173*4</f>
        <v>52.8</v>
      </c>
      <c r="U173" s="11">
        <f>R173*4</f>
        <v>55.6</v>
      </c>
      <c r="V173" s="12">
        <f>(4/3)*3.14*(U173/2)^3</f>
        <v>89950.332373333338</v>
      </c>
      <c r="W173" s="12">
        <f>V173/1000</f>
        <v>89.950332373333339</v>
      </c>
    </row>
    <row r="174" spans="1:23" x14ac:dyDescent="0.25">
      <c r="A174" s="7">
        <v>173</v>
      </c>
      <c r="B174" s="8" t="s">
        <v>179</v>
      </c>
      <c r="C174" s="8" t="s">
        <v>253</v>
      </c>
      <c r="D174" s="7" t="s">
        <v>214</v>
      </c>
      <c r="E174" s="8" t="s">
        <v>51</v>
      </c>
      <c r="F174" s="7">
        <v>850</v>
      </c>
      <c r="G174" s="7">
        <v>1400</v>
      </c>
      <c r="H174" s="7">
        <f>(F174+G174)/2</f>
        <v>1125</v>
      </c>
      <c r="I174" s="9">
        <v>10</v>
      </c>
      <c r="J174" s="10" t="s">
        <v>81</v>
      </c>
      <c r="K174" s="8" t="s">
        <v>108</v>
      </c>
      <c r="L174" s="8" t="s">
        <v>109</v>
      </c>
      <c r="M174" s="8" t="s">
        <v>39</v>
      </c>
      <c r="N174" s="8" t="s">
        <v>99</v>
      </c>
      <c r="O174" s="8" t="s">
        <v>71</v>
      </c>
      <c r="P174" s="11">
        <v>9.8000000000000007</v>
      </c>
      <c r="Q174" s="11">
        <v>21</v>
      </c>
      <c r="R174" s="11">
        <v>12.9</v>
      </c>
      <c r="S174" s="11">
        <f>P174*4</f>
        <v>39.200000000000003</v>
      </c>
      <c r="T174" s="11">
        <f>Q174*4</f>
        <v>84</v>
      </c>
      <c r="U174" s="11">
        <f>R174*4</f>
        <v>51.6</v>
      </c>
      <c r="V174" s="12">
        <f>4/3*3.14*U174^2*T174</f>
        <v>936369.1007999999</v>
      </c>
      <c r="W174" s="12">
        <f>V174/1000</f>
        <v>936.36910079999984</v>
      </c>
    </row>
    <row r="175" spans="1:23" x14ac:dyDescent="0.25">
      <c r="A175" s="7">
        <v>174</v>
      </c>
      <c r="B175" s="8" t="s">
        <v>179</v>
      </c>
      <c r="C175" s="8" t="s">
        <v>254</v>
      </c>
      <c r="D175" s="7" t="s">
        <v>214</v>
      </c>
      <c r="E175" s="8" t="s">
        <v>51</v>
      </c>
      <c r="F175" s="7">
        <v>850</v>
      </c>
      <c r="G175" s="7">
        <v>1400</v>
      </c>
      <c r="H175" s="7">
        <f>(F175+G175)/2</f>
        <v>1125</v>
      </c>
      <c r="I175" s="9">
        <v>7</v>
      </c>
      <c r="J175" s="10" t="s">
        <v>32</v>
      </c>
      <c r="K175" s="8" t="s">
        <v>77</v>
      </c>
      <c r="L175" s="8" t="s">
        <v>77</v>
      </c>
      <c r="M175" s="8" t="s">
        <v>39</v>
      </c>
      <c r="N175" s="8"/>
      <c r="O175" s="8" t="s">
        <v>71</v>
      </c>
      <c r="P175" s="11">
        <v>8</v>
      </c>
      <c r="Q175" s="11">
        <v>5.7</v>
      </c>
      <c r="R175" s="11">
        <v>10.9</v>
      </c>
      <c r="S175" s="11">
        <f>P175*4</f>
        <v>32</v>
      </c>
      <c r="T175" s="11">
        <f>Q175*4</f>
        <v>22.8</v>
      </c>
      <c r="U175" s="11">
        <f>R175*4</f>
        <v>43.6</v>
      </c>
      <c r="V175" s="12">
        <f>4/3*3.14*U175^2*T175</f>
        <v>181458.03776000001</v>
      </c>
      <c r="W175" s="12">
        <f>V175/1000</f>
        <v>181.45803776</v>
      </c>
    </row>
    <row r="176" spans="1:23" x14ac:dyDescent="0.25">
      <c r="A176" s="7">
        <v>175</v>
      </c>
      <c r="B176" s="8" t="s">
        <v>179</v>
      </c>
      <c r="C176" s="8" t="s">
        <v>255</v>
      </c>
      <c r="D176" s="7" t="s">
        <v>214</v>
      </c>
      <c r="E176" s="8" t="s">
        <v>51</v>
      </c>
      <c r="F176" s="7">
        <v>850</v>
      </c>
      <c r="G176" s="7">
        <v>1400</v>
      </c>
      <c r="H176" s="7">
        <f>(F176+G176)/2</f>
        <v>1125</v>
      </c>
      <c r="I176" s="9">
        <v>10</v>
      </c>
      <c r="J176" s="10" t="s">
        <v>81</v>
      </c>
      <c r="K176" s="8" t="s">
        <v>42</v>
      </c>
      <c r="L176" s="8" t="s">
        <v>43</v>
      </c>
      <c r="M176" s="8" t="s">
        <v>140</v>
      </c>
      <c r="N176" s="8"/>
      <c r="O176" s="8" t="s">
        <v>71</v>
      </c>
      <c r="P176" s="11">
        <v>11.5</v>
      </c>
      <c r="Q176" s="11">
        <v>20.399999999999999</v>
      </c>
      <c r="R176" s="11">
        <v>17.2</v>
      </c>
      <c r="S176" s="11">
        <f>P176*4</f>
        <v>46</v>
      </c>
      <c r="T176" s="11">
        <f>Q176*4</f>
        <v>81.599999999999994</v>
      </c>
      <c r="U176" s="11">
        <f>R176*4</f>
        <v>68.8</v>
      </c>
      <c r="V176" s="12">
        <f>4/3*3.14*U176^2*T176</f>
        <v>1617094.5740799997</v>
      </c>
      <c r="W176" s="12">
        <f>V176/1000</f>
        <v>1617.0945740799998</v>
      </c>
    </row>
    <row r="177" spans="1:23" x14ac:dyDescent="0.25">
      <c r="A177" s="7">
        <v>176</v>
      </c>
      <c r="B177" s="8" t="s">
        <v>179</v>
      </c>
      <c r="C177" s="8" t="s">
        <v>256</v>
      </c>
      <c r="D177" s="7" t="s">
        <v>214</v>
      </c>
      <c r="E177" s="8" t="s">
        <v>51</v>
      </c>
      <c r="F177" s="7">
        <v>850</v>
      </c>
      <c r="G177" s="7">
        <v>1400</v>
      </c>
      <c r="H177" s="7">
        <f>(F177+G177)/2</f>
        <v>1125</v>
      </c>
      <c r="I177" s="9">
        <v>7</v>
      </c>
      <c r="J177" s="10" t="s">
        <v>81</v>
      </c>
      <c r="K177" s="8" t="s">
        <v>108</v>
      </c>
      <c r="L177" s="8" t="s">
        <v>109</v>
      </c>
      <c r="M177" s="8" t="s">
        <v>39</v>
      </c>
      <c r="N177" s="8"/>
      <c r="O177" s="8" t="s">
        <v>71</v>
      </c>
      <c r="P177" s="11">
        <v>9.6</v>
      </c>
      <c r="Q177" s="11">
        <v>5.5</v>
      </c>
      <c r="R177" s="11">
        <v>11.5</v>
      </c>
      <c r="S177" s="11">
        <f>P177*4</f>
        <v>38.4</v>
      </c>
      <c r="T177" s="11">
        <f>Q177*4</f>
        <v>22</v>
      </c>
      <c r="U177" s="11">
        <f>R177*4</f>
        <v>46</v>
      </c>
      <c r="V177" s="12">
        <f>4/3*3.14*U177^2*T177</f>
        <v>194897.70666666664</v>
      </c>
      <c r="W177" s="12">
        <f>V177/1000</f>
        <v>194.89770666666664</v>
      </c>
    </row>
    <row r="178" spans="1:23" x14ac:dyDescent="0.25">
      <c r="A178" s="7">
        <v>177</v>
      </c>
      <c r="B178" s="8" t="s">
        <v>257</v>
      </c>
      <c r="C178" s="8" t="s">
        <v>258</v>
      </c>
      <c r="D178" s="7" t="s">
        <v>259</v>
      </c>
      <c r="E178" s="8" t="s">
        <v>51</v>
      </c>
      <c r="F178" s="7">
        <v>300</v>
      </c>
      <c r="G178" s="7">
        <v>440</v>
      </c>
      <c r="H178" s="7">
        <f>(F178+G178)/2</f>
        <v>370</v>
      </c>
      <c r="I178" s="9">
        <v>4</v>
      </c>
      <c r="J178" s="10" t="s">
        <v>65</v>
      </c>
      <c r="K178" s="8" t="s">
        <v>68</v>
      </c>
      <c r="L178" s="8" t="s">
        <v>28</v>
      </c>
      <c r="M178" s="8" t="s">
        <v>39</v>
      </c>
      <c r="N178" s="8"/>
      <c r="O178" s="8" t="s">
        <v>71</v>
      </c>
      <c r="P178" s="11">
        <v>2.5</v>
      </c>
      <c r="Q178" s="11">
        <v>1.4</v>
      </c>
      <c r="R178" s="11">
        <v>2.5</v>
      </c>
      <c r="S178" s="11">
        <f>P178*4</f>
        <v>10</v>
      </c>
      <c r="T178" s="11">
        <f>Q178*4</f>
        <v>5.6</v>
      </c>
      <c r="U178" s="11">
        <f>R178*4</f>
        <v>10</v>
      </c>
      <c r="V178" s="12">
        <f>(2/3)*3.14*(U178/2)^3</f>
        <v>261.66666666666669</v>
      </c>
      <c r="W178" s="12">
        <f>V178/1000</f>
        <v>0.26166666666666666</v>
      </c>
    </row>
    <row r="179" spans="1:23" x14ac:dyDescent="0.25">
      <c r="A179" s="7">
        <v>178</v>
      </c>
      <c r="B179" s="8" t="s">
        <v>257</v>
      </c>
      <c r="C179" s="8" t="s">
        <v>260</v>
      </c>
      <c r="D179" s="7" t="s">
        <v>259</v>
      </c>
      <c r="E179" s="8" t="s">
        <v>51</v>
      </c>
      <c r="F179" s="7">
        <v>300</v>
      </c>
      <c r="G179" s="7">
        <v>440</v>
      </c>
      <c r="H179" s="7">
        <f>(F179+G179)/2</f>
        <v>370</v>
      </c>
      <c r="I179" s="9">
        <v>4</v>
      </c>
      <c r="J179" s="10" t="s">
        <v>65</v>
      </c>
      <c r="K179" s="8" t="s">
        <v>261</v>
      </c>
      <c r="L179" s="8" t="s">
        <v>28</v>
      </c>
      <c r="M179" s="8" t="s">
        <v>39</v>
      </c>
      <c r="N179" s="8"/>
      <c r="O179" s="8" t="s">
        <v>71</v>
      </c>
      <c r="P179" s="11">
        <v>3</v>
      </c>
      <c r="Q179" s="11">
        <v>1.7</v>
      </c>
      <c r="R179" s="11">
        <v>3</v>
      </c>
      <c r="S179" s="11">
        <f>P179*4</f>
        <v>12</v>
      </c>
      <c r="T179" s="11">
        <f>Q179*4</f>
        <v>6.8</v>
      </c>
      <c r="U179" s="11">
        <f>R179*4</f>
        <v>12</v>
      </c>
      <c r="V179" s="12">
        <f>(2/3)*3.14*(U179/2)^3</f>
        <v>452.15999999999997</v>
      </c>
      <c r="W179" s="12">
        <f>V179/1000</f>
        <v>0.45215999999999995</v>
      </c>
    </row>
    <row r="180" spans="1:23" x14ac:dyDescent="0.25">
      <c r="A180" s="7">
        <v>179</v>
      </c>
      <c r="B180" s="8" t="s">
        <v>257</v>
      </c>
      <c r="C180" s="8" t="s">
        <v>262</v>
      </c>
      <c r="D180" s="7" t="s">
        <v>259</v>
      </c>
      <c r="E180" s="8" t="s">
        <v>51</v>
      </c>
      <c r="F180" s="7">
        <v>300</v>
      </c>
      <c r="G180" s="7">
        <v>440</v>
      </c>
      <c r="H180" s="7">
        <f>(F180+G180)/2</f>
        <v>370</v>
      </c>
      <c r="I180" s="9">
        <v>2</v>
      </c>
      <c r="J180" s="10" t="s">
        <v>65</v>
      </c>
      <c r="K180" s="8" t="s">
        <v>263</v>
      </c>
      <c r="L180" s="8" t="s">
        <v>28</v>
      </c>
      <c r="M180" s="8" t="s">
        <v>39</v>
      </c>
      <c r="N180" s="8"/>
      <c r="O180" s="8" t="s">
        <v>40</v>
      </c>
      <c r="P180" s="11">
        <v>2.5</v>
      </c>
      <c r="Q180" s="11">
        <v>1.9</v>
      </c>
      <c r="R180" s="11">
        <v>2.5</v>
      </c>
      <c r="S180" s="11">
        <f>P180*4</f>
        <v>10</v>
      </c>
      <c r="T180" s="11">
        <f>Q180*4</f>
        <v>7.6</v>
      </c>
      <c r="U180" s="11">
        <f>R180*4</f>
        <v>10</v>
      </c>
      <c r="V180" s="12">
        <f>(1/3)*3.14*T180^2*(3*(U180/2)-T180)</f>
        <v>447.37045333333333</v>
      </c>
      <c r="W180" s="12">
        <f>V180/1000</f>
        <v>0.44737045333333331</v>
      </c>
    </row>
    <row r="181" spans="1:23" x14ac:dyDescent="0.25">
      <c r="A181" s="7">
        <v>180</v>
      </c>
      <c r="B181" s="8" t="s">
        <v>257</v>
      </c>
      <c r="C181" s="8" t="s">
        <v>264</v>
      </c>
      <c r="D181" s="7" t="s">
        <v>259</v>
      </c>
      <c r="E181" s="8" t="s">
        <v>51</v>
      </c>
      <c r="F181" s="7">
        <v>300</v>
      </c>
      <c r="G181" s="7">
        <v>440</v>
      </c>
      <c r="H181" s="7">
        <f>(F181+G181)/2</f>
        <v>370</v>
      </c>
      <c r="I181" s="9">
        <v>4</v>
      </c>
      <c r="J181" s="10" t="s">
        <v>26</v>
      </c>
      <c r="K181" s="8" t="s">
        <v>263</v>
      </c>
      <c r="L181" s="8" t="s">
        <v>28</v>
      </c>
      <c r="M181" s="8" t="s">
        <v>39</v>
      </c>
      <c r="N181" s="8"/>
      <c r="O181" s="8" t="s">
        <v>40</v>
      </c>
      <c r="P181" s="11">
        <v>5.4</v>
      </c>
      <c r="Q181" s="11">
        <v>3.1</v>
      </c>
      <c r="R181" s="11">
        <v>5.4</v>
      </c>
      <c r="S181" s="11">
        <f>P181*4</f>
        <v>21.6</v>
      </c>
      <c r="T181" s="11">
        <f>Q181*4</f>
        <v>12.4</v>
      </c>
      <c r="U181" s="11">
        <f>R181*4</f>
        <v>21.6</v>
      </c>
      <c r="V181" s="12">
        <f>(2/3)*3.14*(U181/2)^3</f>
        <v>2636.9971200000005</v>
      </c>
      <c r="W181" s="12">
        <f>V181/1000</f>
        <v>2.6369971200000006</v>
      </c>
    </row>
    <row r="182" spans="1:23" x14ac:dyDescent="0.25">
      <c r="A182" s="7">
        <v>181</v>
      </c>
      <c r="B182" s="8" t="s">
        <v>257</v>
      </c>
      <c r="C182" s="8" t="s">
        <v>265</v>
      </c>
      <c r="D182" s="7" t="s">
        <v>259</v>
      </c>
      <c r="E182" s="8" t="s">
        <v>51</v>
      </c>
      <c r="F182" s="7">
        <v>300</v>
      </c>
      <c r="G182" s="7">
        <v>440</v>
      </c>
      <c r="H182" s="7">
        <f>(F182+G182)/2</f>
        <v>370</v>
      </c>
      <c r="I182" s="9">
        <v>4</v>
      </c>
      <c r="J182" s="10" t="s">
        <v>26</v>
      </c>
      <c r="K182" s="8" t="s">
        <v>263</v>
      </c>
      <c r="L182" s="8" t="s">
        <v>28</v>
      </c>
      <c r="M182" s="8" t="s">
        <v>39</v>
      </c>
      <c r="N182" s="8"/>
      <c r="O182" s="8" t="s">
        <v>40</v>
      </c>
      <c r="P182" s="11">
        <v>5.2</v>
      </c>
      <c r="Q182" s="11">
        <v>3.4</v>
      </c>
      <c r="R182" s="11">
        <v>5.2</v>
      </c>
      <c r="S182" s="11">
        <f>P182*4</f>
        <v>20.8</v>
      </c>
      <c r="T182" s="11">
        <f>Q182*4</f>
        <v>13.6</v>
      </c>
      <c r="U182" s="11">
        <f>R182*4</f>
        <v>20.8</v>
      </c>
      <c r="V182" s="12">
        <f>(2/3)*3.14*(U182/2)^3</f>
        <v>2354.7153066666669</v>
      </c>
      <c r="W182" s="12">
        <f>V182/1000</f>
        <v>2.3547153066666668</v>
      </c>
    </row>
    <row r="183" spans="1:23" x14ac:dyDescent="0.25">
      <c r="A183" s="7">
        <v>182</v>
      </c>
      <c r="B183" s="8" t="s">
        <v>257</v>
      </c>
      <c r="C183" s="8" t="s">
        <v>266</v>
      </c>
      <c r="D183" s="7" t="s">
        <v>259</v>
      </c>
      <c r="E183" s="8" t="s">
        <v>51</v>
      </c>
      <c r="F183" s="7">
        <v>300</v>
      </c>
      <c r="G183" s="7">
        <v>440</v>
      </c>
      <c r="H183" s="7">
        <f>(F183+G183)/2</f>
        <v>370</v>
      </c>
      <c r="I183" s="9">
        <v>4</v>
      </c>
      <c r="J183" s="10" t="s">
        <v>34</v>
      </c>
      <c r="K183" s="8" t="s">
        <v>68</v>
      </c>
      <c r="L183" s="8" t="s">
        <v>28</v>
      </c>
      <c r="M183" s="8" t="s">
        <v>39</v>
      </c>
      <c r="N183" s="8"/>
      <c r="O183" s="8" t="s">
        <v>40</v>
      </c>
      <c r="P183" s="11">
        <v>6.6</v>
      </c>
      <c r="Q183" s="11">
        <v>3.6</v>
      </c>
      <c r="R183" s="11">
        <v>6.6</v>
      </c>
      <c r="S183" s="11">
        <f>P183*4</f>
        <v>26.4</v>
      </c>
      <c r="T183" s="11">
        <f>Q183*4</f>
        <v>14.4</v>
      </c>
      <c r="U183" s="11">
        <f>R183*4</f>
        <v>26.4</v>
      </c>
      <c r="V183" s="12">
        <f>(2/3)*3.14*(U183/2)^3</f>
        <v>4814.5996799999994</v>
      </c>
      <c r="W183" s="12">
        <f>V183/1000</f>
        <v>4.8145996799999997</v>
      </c>
    </row>
    <row r="184" spans="1:23" x14ac:dyDescent="0.25">
      <c r="A184" s="7">
        <v>183</v>
      </c>
      <c r="B184" s="8" t="s">
        <v>257</v>
      </c>
      <c r="C184" s="8" t="s">
        <v>267</v>
      </c>
      <c r="D184" s="7" t="s">
        <v>259</v>
      </c>
      <c r="E184" s="8" t="s">
        <v>51</v>
      </c>
      <c r="F184" s="7">
        <v>300</v>
      </c>
      <c r="G184" s="7">
        <v>440</v>
      </c>
      <c r="H184" s="7">
        <f>(F184+G184)/2</f>
        <v>370</v>
      </c>
      <c r="I184" s="9">
        <v>2</v>
      </c>
      <c r="J184" s="10" t="s">
        <v>26</v>
      </c>
      <c r="K184" s="8" t="s">
        <v>261</v>
      </c>
      <c r="L184" s="8" t="s">
        <v>28</v>
      </c>
      <c r="M184" s="8" t="s">
        <v>39</v>
      </c>
      <c r="N184" s="8"/>
      <c r="O184" s="8" t="s">
        <v>40</v>
      </c>
      <c r="P184" s="11">
        <v>4.8</v>
      </c>
      <c r="Q184" s="11">
        <v>2.8</v>
      </c>
      <c r="R184" s="11">
        <v>4.8</v>
      </c>
      <c r="S184" s="11">
        <f>P184*4</f>
        <v>19.2</v>
      </c>
      <c r="T184" s="11">
        <f>Q184*4</f>
        <v>11.2</v>
      </c>
      <c r="U184" s="11">
        <f>R184*4</f>
        <v>19.2</v>
      </c>
      <c r="V184" s="12">
        <f>(1/3)*3.14*T184^2*(3*(U184/2)-T184)</f>
        <v>2310.7720533333327</v>
      </c>
      <c r="W184" s="12">
        <f>V184/1000</f>
        <v>2.3107720533333325</v>
      </c>
    </row>
    <row r="185" spans="1:23" x14ac:dyDescent="0.25">
      <c r="A185" s="7">
        <v>184</v>
      </c>
      <c r="B185" s="8" t="s">
        <v>257</v>
      </c>
      <c r="C185" s="8" t="s">
        <v>268</v>
      </c>
      <c r="D185" s="7" t="s">
        <v>259</v>
      </c>
      <c r="E185" s="8" t="s">
        <v>51</v>
      </c>
      <c r="F185" s="7">
        <v>300</v>
      </c>
      <c r="G185" s="7">
        <v>440</v>
      </c>
      <c r="H185" s="7">
        <f>(F185+G185)/2</f>
        <v>370</v>
      </c>
      <c r="I185" s="9">
        <v>2</v>
      </c>
      <c r="J185" s="10" t="s">
        <v>34</v>
      </c>
      <c r="K185" s="8" t="s">
        <v>261</v>
      </c>
      <c r="L185" s="8" t="s">
        <v>28</v>
      </c>
      <c r="M185" s="8" t="s">
        <v>39</v>
      </c>
      <c r="N185" s="8"/>
      <c r="O185" s="8" t="s">
        <v>40</v>
      </c>
      <c r="P185" s="11">
        <v>7.6</v>
      </c>
      <c r="Q185" s="11">
        <v>4</v>
      </c>
      <c r="R185" s="11">
        <v>7.6</v>
      </c>
      <c r="S185" s="11">
        <f>P185*4</f>
        <v>30.4</v>
      </c>
      <c r="T185" s="11">
        <f>Q185*4</f>
        <v>16</v>
      </c>
      <c r="U185" s="11">
        <f>R185*4</f>
        <v>30.4</v>
      </c>
      <c r="V185" s="12">
        <f>(1/3)*3.14*T185^2*(3*(U185/2)-T185)</f>
        <v>7931.2213333333311</v>
      </c>
      <c r="W185" s="12">
        <f>V185/1000</f>
        <v>7.9312213333333315</v>
      </c>
    </row>
    <row r="186" spans="1:23" x14ac:dyDescent="0.25">
      <c r="A186" s="7">
        <v>185</v>
      </c>
      <c r="B186" s="8" t="s">
        <v>257</v>
      </c>
      <c r="C186" s="8" t="s">
        <v>269</v>
      </c>
      <c r="D186" s="7" t="s">
        <v>259</v>
      </c>
      <c r="E186" s="8" t="s">
        <v>51</v>
      </c>
      <c r="F186" s="7">
        <v>300</v>
      </c>
      <c r="G186" s="7">
        <v>440</v>
      </c>
      <c r="H186" s="7">
        <f>(F186+G186)/2</f>
        <v>370</v>
      </c>
      <c r="I186" s="9">
        <v>4</v>
      </c>
      <c r="J186" s="10" t="s">
        <v>34</v>
      </c>
      <c r="K186" s="8" t="s">
        <v>263</v>
      </c>
      <c r="L186" s="8" t="s">
        <v>28</v>
      </c>
      <c r="M186" s="8" t="s">
        <v>39</v>
      </c>
      <c r="N186" s="8"/>
      <c r="O186" s="8" t="s">
        <v>40</v>
      </c>
      <c r="P186" s="11">
        <v>6.4</v>
      </c>
      <c r="Q186" s="11">
        <v>2.5</v>
      </c>
      <c r="R186" s="11">
        <v>6.4</v>
      </c>
      <c r="S186" s="11">
        <f>P186*4</f>
        <v>25.6</v>
      </c>
      <c r="T186" s="11">
        <f>Q186*4</f>
        <v>10</v>
      </c>
      <c r="U186" s="11">
        <f>R186*4</f>
        <v>25.6</v>
      </c>
      <c r="V186" s="12">
        <f>(2/3)*3.14*(U186/2)^3</f>
        <v>4390.0381866666676</v>
      </c>
      <c r="W186" s="12">
        <f>V186/1000</f>
        <v>4.3900381866666676</v>
      </c>
    </row>
    <row r="187" spans="1:23" x14ac:dyDescent="0.25">
      <c r="A187" s="7">
        <v>186</v>
      </c>
      <c r="B187" s="8" t="s">
        <v>257</v>
      </c>
      <c r="C187" s="8" t="s">
        <v>270</v>
      </c>
      <c r="D187" s="7" t="s">
        <v>259</v>
      </c>
      <c r="E187" s="8" t="s">
        <v>51</v>
      </c>
      <c r="F187" s="7">
        <v>300</v>
      </c>
      <c r="G187" s="7">
        <v>440</v>
      </c>
      <c r="H187" s="7">
        <f>(F187+G187)/2</f>
        <v>370</v>
      </c>
      <c r="I187" s="9">
        <v>4</v>
      </c>
      <c r="J187" s="10" t="s">
        <v>26</v>
      </c>
      <c r="K187" s="8" t="s">
        <v>263</v>
      </c>
      <c r="L187" s="8" t="s">
        <v>28</v>
      </c>
      <c r="M187" s="8" t="s">
        <v>39</v>
      </c>
      <c r="N187" s="8"/>
      <c r="O187" s="8" t="s">
        <v>40</v>
      </c>
      <c r="P187" s="11">
        <v>5.5</v>
      </c>
      <c r="Q187" s="11">
        <v>4</v>
      </c>
      <c r="R187" s="11">
        <v>5.7</v>
      </c>
      <c r="S187" s="11">
        <f>P187*4</f>
        <v>22</v>
      </c>
      <c r="T187" s="11">
        <f>Q187*4</f>
        <v>16</v>
      </c>
      <c r="U187" s="11">
        <f>R187*4</f>
        <v>22.8</v>
      </c>
      <c r="V187" s="12">
        <f>(2/3)*3.14*(U187/2)^3</f>
        <v>3101.36544</v>
      </c>
      <c r="W187" s="12">
        <f>V187/1000</f>
        <v>3.1013654399999999</v>
      </c>
    </row>
    <row r="188" spans="1:23" x14ac:dyDescent="0.25">
      <c r="A188" s="7">
        <v>187</v>
      </c>
      <c r="B188" s="8" t="s">
        <v>257</v>
      </c>
      <c r="C188" s="8" t="s">
        <v>271</v>
      </c>
      <c r="D188" s="7" t="s">
        <v>259</v>
      </c>
      <c r="E188" s="8" t="s">
        <v>51</v>
      </c>
      <c r="F188" s="7">
        <v>300</v>
      </c>
      <c r="G188" s="7">
        <v>440</v>
      </c>
      <c r="H188" s="7">
        <f>(F188+G188)/2</f>
        <v>370</v>
      </c>
      <c r="I188" s="9">
        <v>2</v>
      </c>
      <c r="J188" s="10" t="s">
        <v>34</v>
      </c>
      <c r="K188" s="8" t="s">
        <v>68</v>
      </c>
      <c r="L188" s="8" t="s">
        <v>28</v>
      </c>
      <c r="M188" s="8" t="s">
        <v>39</v>
      </c>
      <c r="N188" s="8"/>
      <c r="O188" s="8" t="s">
        <v>40</v>
      </c>
      <c r="P188" s="11">
        <v>7.8</v>
      </c>
      <c r="Q188" s="11">
        <v>4.5999999999999996</v>
      </c>
      <c r="R188" s="11">
        <v>7.8</v>
      </c>
      <c r="S188" s="11">
        <f>P188*4</f>
        <v>31.2</v>
      </c>
      <c r="T188" s="11">
        <f>Q188*4</f>
        <v>18.399999999999999</v>
      </c>
      <c r="U188" s="11">
        <f>R188*4</f>
        <v>31.2</v>
      </c>
      <c r="V188" s="12">
        <f>(1/3)*3.14*T188^2*(3*(U188/2)-T188)</f>
        <v>10063.80885333333</v>
      </c>
      <c r="W188" s="12">
        <f>V188/1000</f>
        <v>10.063808853333331</v>
      </c>
    </row>
    <row r="189" spans="1:23" x14ac:dyDescent="0.25">
      <c r="A189" s="7">
        <v>188</v>
      </c>
      <c r="B189" s="8" t="s">
        <v>257</v>
      </c>
      <c r="C189" s="8" t="s">
        <v>272</v>
      </c>
      <c r="D189" s="7" t="s">
        <v>259</v>
      </c>
      <c r="E189" s="8" t="s">
        <v>51</v>
      </c>
      <c r="F189" s="7">
        <v>300</v>
      </c>
      <c r="G189" s="7">
        <v>440</v>
      </c>
      <c r="H189" s="7">
        <f>(F189+G189)/2</f>
        <v>370</v>
      </c>
      <c r="I189" s="9">
        <v>4</v>
      </c>
      <c r="J189" s="10" t="s">
        <v>34</v>
      </c>
      <c r="K189" s="8" t="s">
        <v>68</v>
      </c>
      <c r="L189" s="8" t="s">
        <v>28</v>
      </c>
      <c r="M189" s="8" t="s">
        <v>39</v>
      </c>
      <c r="N189" s="8"/>
      <c r="O189" s="8" t="s">
        <v>40</v>
      </c>
      <c r="P189" s="11">
        <v>7.5</v>
      </c>
      <c r="Q189" s="11">
        <v>4.4000000000000004</v>
      </c>
      <c r="R189" s="11">
        <v>7.5</v>
      </c>
      <c r="S189" s="11">
        <f>P189*4</f>
        <v>30</v>
      </c>
      <c r="T189" s="11">
        <f>Q189*4</f>
        <v>17.600000000000001</v>
      </c>
      <c r="U189" s="11">
        <f>R189*4</f>
        <v>30</v>
      </c>
      <c r="V189" s="12">
        <f>(2/3)*3.14*(U189/2)^3</f>
        <v>7065</v>
      </c>
      <c r="W189" s="12">
        <f>V189/1000</f>
        <v>7.0650000000000004</v>
      </c>
    </row>
    <row r="190" spans="1:23" x14ac:dyDescent="0.25">
      <c r="A190" s="7">
        <v>189</v>
      </c>
      <c r="B190" s="8" t="s">
        <v>257</v>
      </c>
      <c r="C190" s="8" t="s">
        <v>273</v>
      </c>
      <c r="D190" s="7" t="s">
        <v>274</v>
      </c>
      <c r="E190" s="8" t="s">
        <v>51</v>
      </c>
      <c r="F190" s="7">
        <v>440</v>
      </c>
      <c r="G190" s="7">
        <v>640</v>
      </c>
      <c r="H190" s="7">
        <f>(F190+G190)/2</f>
        <v>540</v>
      </c>
      <c r="I190" s="9">
        <v>5</v>
      </c>
      <c r="J190" s="10" t="s">
        <v>26</v>
      </c>
      <c r="K190" s="8" t="s">
        <v>263</v>
      </c>
      <c r="L190" s="8" t="s">
        <v>28</v>
      </c>
      <c r="M190" s="8" t="s">
        <v>39</v>
      </c>
      <c r="N190" s="8"/>
      <c r="O190" s="8" t="s">
        <v>40</v>
      </c>
      <c r="P190" s="11">
        <v>5.3</v>
      </c>
      <c r="Q190" s="11">
        <v>4.0999999999999996</v>
      </c>
      <c r="R190" s="11">
        <v>6</v>
      </c>
      <c r="S190" s="11">
        <f>P190*4</f>
        <v>21.2</v>
      </c>
      <c r="T190" s="11">
        <f>Q190*4</f>
        <v>16.399999999999999</v>
      </c>
      <c r="U190" s="11">
        <f>R190*4</f>
        <v>24</v>
      </c>
      <c r="V190" s="12">
        <f>(4/3)*3.14*(U190/2)^3</f>
        <v>7234.5599999999995</v>
      </c>
      <c r="W190" s="12">
        <f>V190/1000</f>
        <v>7.2345599999999992</v>
      </c>
    </row>
    <row r="191" spans="1:23" x14ac:dyDescent="0.25">
      <c r="A191" s="7">
        <v>190</v>
      </c>
      <c r="B191" s="8" t="s">
        <v>257</v>
      </c>
      <c r="C191" s="8" t="s">
        <v>275</v>
      </c>
      <c r="D191" s="7" t="s">
        <v>276</v>
      </c>
      <c r="E191" s="8" t="s">
        <v>51</v>
      </c>
      <c r="F191" s="7">
        <v>540</v>
      </c>
      <c r="G191" s="7">
        <v>605</v>
      </c>
      <c r="H191" s="7">
        <f>(F191+G191)/2</f>
        <v>572.5</v>
      </c>
      <c r="I191" s="9">
        <v>9</v>
      </c>
      <c r="J191" s="10" t="s">
        <v>65</v>
      </c>
      <c r="K191" s="8" t="s">
        <v>27</v>
      </c>
      <c r="L191" s="8" t="s">
        <v>28</v>
      </c>
      <c r="M191" s="8" t="s">
        <v>39</v>
      </c>
      <c r="N191" s="8"/>
      <c r="O191" s="8" t="s">
        <v>40</v>
      </c>
      <c r="P191" s="11">
        <v>3.3</v>
      </c>
      <c r="Q191" s="11">
        <v>3.7</v>
      </c>
      <c r="R191" s="11">
        <v>3.3</v>
      </c>
      <c r="S191" s="11">
        <f>P191*4</f>
        <v>13.2</v>
      </c>
      <c r="T191" s="11">
        <f>Q191*4</f>
        <v>14.8</v>
      </c>
      <c r="U191" s="11">
        <f>R191*4</f>
        <v>13.2</v>
      </c>
      <c r="V191" s="12">
        <f>4/3*3.14*U191^2*T191</f>
        <v>10796.375039999999</v>
      </c>
      <c r="W191" s="12">
        <f>V191/1000</f>
        <v>10.796375039999999</v>
      </c>
    </row>
    <row r="192" spans="1:23" x14ac:dyDescent="0.25">
      <c r="A192" s="7">
        <v>191</v>
      </c>
      <c r="B192" s="8" t="s">
        <v>257</v>
      </c>
      <c r="C192" s="8" t="s">
        <v>277</v>
      </c>
      <c r="D192" s="7" t="s">
        <v>259</v>
      </c>
      <c r="E192" s="8" t="s">
        <v>51</v>
      </c>
      <c r="F192" s="7">
        <v>300</v>
      </c>
      <c r="G192" s="7">
        <v>440</v>
      </c>
      <c r="H192" s="7">
        <f>(F192+G192)/2</f>
        <v>370</v>
      </c>
      <c r="I192" s="9">
        <v>9</v>
      </c>
      <c r="J192" s="10" t="s">
        <v>65</v>
      </c>
      <c r="K192" s="8" t="s">
        <v>263</v>
      </c>
      <c r="L192" s="8" t="s">
        <v>28</v>
      </c>
      <c r="M192" s="8" t="s">
        <v>39</v>
      </c>
      <c r="N192" s="8"/>
      <c r="O192" s="8" t="s">
        <v>40</v>
      </c>
      <c r="P192" s="11">
        <v>2.2999999999999998</v>
      </c>
      <c r="Q192" s="11">
        <v>2.6</v>
      </c>
      <c r="R192" s="11">
        <v>2.2999999999999998</v>
      </c>
      <c r="S192" s="11">
        <f>P192*4</f>
        <v>9.1999999999999993</v>
      </c>
      <c r="T192" s="11">
        <f>Q192*4</f>
        <v>10.4</v>
      </c>
      <c r="U192" s="11">
        <f>R192*4</f>
        <v>9.1999999999999993</v>
      </c>
      <c r="V192" s="12">
        <f>4/3*3.14*U192^2*T192</f>
        <v>3685.3384533333328</v>
      </c>
      <c r="W192" s="12">
        <f>V192/1000</f>
        <v>3.6853384533333329</v>
      </c>
    </row>
    <row r="193" spans="1:23" x14ac:dyDescent="0.25">
      <c r="A193" s="7">
        <v>192</v>
      </c>
      <c r="B193" s="8" t="s">
        <v>257</v>
      </c>
      <c r="C193" s="8" t="s">
        <v>278</v>
      </c>
      <c r="D193" s="7" t="s">
        <v>274</v>
      </c>
      <c r="E193" s="8" t="s">
        <v>51</v>
      </c>
      <c r="F193" s="7">
        <v>440</v>
      </c>
      <c r="G193" s="7">
        <v>640</v>
      </c>
      <c r="H193" s="7">
        <f>(F193+G193)/2</f>
        <v>540</v>
      </c>
      <c r="I193" s="9">
        <v>8</v>
      </c>
      <c r="J193" s="10" t="s">
        <v>26</v>
      </c>
      <c r="K193" s="8" t="s">
        <v>27</v>
      </c>
      <c r="L193" s="8" t="s">
        <v>28</v>
      </c>
      <c r="M193" s="8" t="s">
        <v>39</v>
      </c>
      <c r="N193" s="8"/>
      <c r="O193" s="8" t="s">
        <v>71</v>
      </c>
      <c r="P193" s="11">
        <v>3.3</v>
      </c>
      <c r="Q193" s="11">
        <v>1.1000000000000001</v>
      </c>
      <c r="R193" s="11">
        <v>4.3</v>
      </c>
      <c r="S193" s="11">
        <f>P193*4</f>
        <v>13.2</v>
      </c>
      <c r="T193" s="11">
        <f>Q193*4</f>
        <v>4.4000000000000004</v>
      </c>
      <c r="U193" s="11">
        <f>R193*4</f>
        <v>17.2</v>
      </c>
      <c r="V193" s="12">
        <f>4/3*3.14*U193^2*T193</f>
        <v>5449.7672533333325</v>
      </c>
      <c r="W193" s="12">
        <f>V193/1000</f>
        <v>5.4497672533333326</v>
      </c>
    </row>
    <row r="194" spans="1:23" x14ac:dyDescent="0.25">
      <c r="A194" s="7">
        <v>193</v>
      </c>
      <c r="B194" s="8" t="s">
        <v>257</v>
      </c>
      <c r="C194" s="8" t="s">
        <v>279</v>
      </c>
      <c r="D194" s="7" t="s">
        <v>280</v>
      </c>
      <c r="E194" s="8" t="s">
        <v>51</v>
      </c>
      <c r="F194" s="7">
        <v>605</v>
      </c>
      <c r="G194" s="7">
        <v>680</v>
      </c>
      <c r="H194" s="7">
        <f>(F194+G194)/2</f>
        <v>642.5</v>
      </c>
      <c r="I194" s="9">
        <v>8</v>
      </c>
      <c r="J194" s="10" t="s">
        <v>26</v>
      </c>
      <c r="K194" s="8" t="s">
        <v>27</v>
      </c>
      <c r="L194" s="8" t="s">
        <v>28</v>
      </c>
      <c r="M194" s="8" t="s">
        <v>39</v>
      </c>
      <c r="N194" s="8"/>
      <c r="O194" s="8" t="s">
        <v>71</v>
      </c>
      <c r="P194" s="11">
        <v>4.7</v>
      </c>
      <c r="Q194" s="11">
        <v>1.6</v>
      </c>
      <c r="R194" s="11">
        <v>5.9</v>
      </c>
      <c r="S194" s="11">
        <f>P194*4</f>
        <v>18.8</v>
      </c>
      <c r="T194" s="11">
        <f>Q194*4</f>
        <v>6.4</v>
      </c>
      <c r="U194" s="11">
        <f>R194*4</f>
        <v>23.6</v>
      </c>
      <c r="V194" s="12">
        <f>4/3*3.14*U194^2*T194</f>
        <v>14923.557546666667</v>
      </c>
      <c r="W194" s="12">
        <f>V194/1000</f>
        <v>14.923557546666666</v>
      </c>
    </row>
    <row r="195" spans="1:23" x14ac:dyDescent="0.25">
      <c r="A195" s="7">
        <v>194</v>
      </c>
      <c r="B195" s="8" t="s">
        <v>257</v>
      </c>
      <c r="C195" s="8" t="s">
        <v>281</v>
      </c>
      <c r="D195" s="7" t="s">
        <v>259</v>
      </c>
      <c r="E195" s="8" t="s">
        <v>51</v>
      </c>
      <c r="F195" s="7">
        <v>300</v>
      </c>
      <c r="G195" s="7">
        <v>440</v>
      </c>
      <c r="H195" s="7">
        <f>(F195+G195)/2</f>
        <v>370</v>
      </c>
      <c r="I195" s="9">
        <v>5</v>
      </c>
      <c r="J195" s="10" t="s">
        <v>65</v>
      </c>
      <c r="K195" s="8" t="s">
        <v>42</v>
      </c>
      <c r="L195" s="8" t="s">
        <v>43</v>
      </c>
      <c r="M195" s="8" t="s">
        <v>39</v>
      </c>
      <c r="N195" s="8"/>
      <c r="O195" s="8" t="s">
        <v>40</v>
      </c>
      <c r="P195" s="11">
        <v>2.9</v>
      </c>
      <c r="Q195" s="11">
        <v>2.9</v>
      </c>
      <c r="R195" s="11">
        <v>3.6</v>
      </c>
      <c r="S195" s="11">
        <f>P195*4</f>
        <v>11.6</v>
      </c>
      <c r="T195" s="11">
        <f>Q195*4</f>
        <v>11.6</v>
      </c>
      <c r="U195" s="11">
        <f>R195*4</f>
        <v>14.4</v>
      </c>
      <c r="V195" s="12">
        <f>(4/3)*3.14*(U195/2)^3</f>
        <v>1562.6649600000001</v>
      </c>
      <c r="W195" s="12">
        <f>V195/1000</f>
        <v>1.56266496</v>
      </c>
    </row>
    <row r="196" spans="1:23" x14ac:dyDescent="0.25">
      <c r="A196" s="7">
        <v>195</v>
      </c>
      <c r="B196" s="8" t="s">
        <v>257</v>
      </c>
      <c r="C196" s="8" t="s">
        <v>282</v>
      </c>
      <c r="D196" s="7" t="s">
        <v>280</v>
      </c>
      <c r="E196" s="8" t="s">
        <v>51</v>
      </c>
      <c r="F196" s="7">
        <v>605</v>
      </c>
      <c r="G196" s="7">
        <v>680</v>
      </c>
      <c r="H196" s="7">
        <f>(F196+G196)/2</f>
        <v>642.5</v>
      </c>
      <c r="I196" s="9">
        <v>5</v>
      </c>
      <c r="J196" s="10" t="s">
        <v>26</v>
      </c>
      <c r="K196" s="8" t="s">
        <v>27</v>
      </c>
      <c r="L196" s="8" t="s">
        <v>28</v>
      </c>
      <c r="M196" s="8" t="s">
        <v>39</v>
      </c>
      <c r="N196" s="8"/>
      <c r="O196" s="8" t="s">
        <v>71</v>
      </c>
      <c r="P196" s="11">
        <v>2.2999999999999998</v>
      </c>
      <c r="Q196" s="11">
        <v>3</v>
      </c>
      <c r="R196" s="11">
        <v>3.8</v>
      </c>
      <c r="S196" s="11">
        <f>P196*4</f>
        <v>9.1999999999999993</v>
      </c>
      <c r="T196" s="11">
        <f>Q196*4</f>
        <v>12</v>
      </c>
      <c r="U196" s="11">
        <f>R196*4</f>
        <v>15.2</v>
      </c>
      <c r="V196" s="12">
        <f>(4/3)*3.14*(U196/2)^3</f>
        <v>1837.8461866666664</v>
      </c>
      <c r="W196" s="12">
        <f>V196/1000</f>
        <v>1.8378461866666664</v>
      </c>
    </row>
    <row r="197" spans="1:23" x14ac:dyDescent="0.25">
      <c r="A197" s="7">
        <v>196</v>
      </c>
      <c r="B197" s="8" t="s">
        <v>257</v>
      </c>
      <c r="C197" s="8" t="s">
        <v>283</v>
      </c>
      <c r="D197" s="7" t="s">
        <v>259</v>
      </c>
      <c r="E197" s="8" t="s">
        <v>51</v>
      </c>
      <c r="F197" s="7">
        <v>300</v>
      </c>
      <c r="G197" s="7">
        <v>440</v>
      </c>
      <c r="H197" s="7">
        <f>(F197+G197)/2</f>
        <v>370</v>
      </c>
      <c r="I197" s="9">
        <v>10</v>
      </c>
      <c r="J197" s="10" t="s">
        <v>26</v>
      </c>
      <c r="K197" s="8" t="s">
        <v>27</v>
      </c>
      <c r="L197" s="8" t="s">
        <v>28</v>
      </c>
      <c r="M197" s="8" t="s">
        <v>39</v>
      </c>
      <c r="N197" s="8"/>
      <c r="O197" s="8" t="s">
        <v>71</v>
      </c>
      <c r="P197" s="11">
        <v>3.4</v>
      </c>
      <c r="Q197" s="11">
        <v>4.7</v>
      </c>
      <c r="R197" s="11">
        <v>4.4000000000000004</v>
      </c>
      <c r="S197" s="11">
        <f>P197*4</f>
        <v>13.6</v>
      </c>
      <c r="T197" s="11">
        <f>Q197*4</f>
        <v>18.8</v>
      </c>
      <c r="U197" s="11">
        <f>R197*4</f>
        <v>17.600000000000001</v>
      </c>
      <c r="V197" s="12">
        <f>4/3*3.14*U197^2*T197</f>
        <v>24381.003093333336</v>
      </c>
      <c r="W197" s="12">
        <f>V197/1000</f>
        <v>24.381003093333337</v>
      </c>
    </row>
    <row r="198" spans="1:23" x14ac:dyDescent="0.25">
      <c r="A198" s="7">
        <v>197</v>
      </c>
      <c r="B198" s="8" t="s">
        <v>257</v>
      </c>
      <c r="C198" s="8" t="s">
        <v>284</v>
      </c>
      <c r="D198" s="7" t="s">
        <v>259</v>
      </c>
      <c r="E198" s="8" t="s">
        <v>51</v>
      </c>
      <c r="F198" s="7">
        <v>300</v>
      </c>
      <c r="G198" s="7">
        <v>440</v>
      </c>
      <c r="H198" s="7">
        <f>(F198+G198)/2</f>
        <v>370</v>
      </c>
      <c r="I198" s="9">
        <v>5</v>
      </c>
      <c r="J198" s="10" t="s">
        <v>26</v>
      </c>
      <c r="K198" s="8" t="s">
        <v>27</v>
      </c>
      <c r="L198" s="8" t="s">
        <v>28</v>
      </c>
      <c r="M198" s="8" t="s">
        <v>39</v>
      </c>
      <c r="N198" s="8"/>
      <c r="O198" s="8" t="s">
        <v>71</v>
      </c>
      <c r="P198" s="11">
        <v>2.6</v>
      </c>
      <c r="Q198" s="11">
        <v>3.8</v>
      </c>
      <c r="R198" s="11">
        <v>4</v>
      </c>
      <c r="S198" s="11">
        <f>P198*4</f>
        <v>10.4</v>
      </c>
      <c r="T198" s="11">
        <f>Q198*4</f>
        <v>15.2</v>
      </c>
      <c r="U198" s="11">
        <f>R198*4</f>
        <v>16</v>
      </c>
      <c r="V198" s="12">
        <f>(4/3)*3.14*(U198/2)^3</f>
        <v>2143.5733333333333</v>
      </c>
      <c r="W198" s="12">
        <f>V198/1000</f>
        <v>2.1435733333333333</v>
      </c>
    </row>
    <row r="199" spans="1:23" x14ac:dyDescent="0.25">
      <c r="A199" s="7">
        <v>198</v>
      </c>
      <c r="B199" s="8" t="s">
        <v>257</v>
      </c>
      <c r="C199" s="8" t="s">
        <v>285</v>
      </c>
      <c r="D199" s="7" t="s">
        <v>259</v>
      </c>
      <c r="E199" s="8" t="s">
        <v>51</v>
      </c>
      <c r="F199" s="7">
        <v>300</v>
      </c>
      <c r="G199" s="7">
        <v>440</v>
      </c>
      <c r="H199" s="7">
        <f>(F199+G199)/2</f>
        <v>370</v>
      </c>
      <c r="I199" s="9">
        <v>5</v>
      </c>
      <c r="J199" s="10" t="s">
        <v>26</v>
      </c>
      <c r="K199" s="8" t="s">
        <v>263</v>
      </c>
      <c r="L199" s="8" t="s">
        <v>28</v>
      </c>
      <c r="M199" s="8" t="s">
        <v>39</v>
      </c>
      <c r="N199" s="8"/>
      <c r="O199" s="8" t="s">
        <v>40</v>
      </c>
      <c r="P199" s="11">
        <v>2.7</v>
      </c>
      <c r="Q199" s="11">
        <v>4.0999999999999996</v>
      </c>
      <c r="R199" s="11">
        <v>3.8</v>
      </c>
      <c r="S199" s="11">
        <f>P199*4</f>
        <v>10.8</v>
      </c>
      <c r="T199" s="11">
        <f>Q199*4</f>
        <v>16.399999999999999</v>
      </c>
      <c r="U199" s="11">
        <f>R199*4</f>
        <v>15.2</v>
      </c>
      <c r="V199" s="12">
        <f>(4/3)*3.14*(U199/2)^3</f>
        <v>1837.8461866666664</v>
      </c>
      <c r="W199" s="12">
        <f>V199/1000</f>
        <v>1.8378461866666664</v>
      </c>
    </row>
    <row r="200" spans="1:23" x14ac:dyDescent="0.25">
      <c r="A200" s="7">
        <v>199</v>
      </c>
      <c r="B200" s="8" t="s">
        <v>257</v>
      </c>
      <c r="C200" s="8" t="s">
        <v>286</v>
      </c>
      <c r="D200" s="7" t="s">
        <v>280</v>
      </c>
      <c r="E200" s="8" t="s">
        <v>51</v>
      </c>
      <c r="F200" s="7">
        <v>605</v>
      </c>
      <c r="G200" s="7">
        <v>680</v>
      </c>
      <c r="H200" s="7">
        <f>(F200+G200)/2</f>
        <v>642.5</v>
      </c>
      <c r="I200" s="9">
        <v>5</v>
      </c>
      <c r="J200" s="10" t="s">
        <v>65</v>
      </c>
      <c r="K200" s="8" t="s">
        <v>42</v>
      </c>
      <c r="L200" s="8" t="s">
        <v>43</v>
      </c>
      <c r="M200" s="8" t="s">
        <v>39</v>
      </c>
      <c r="N200" s="8"/>
      <c r="O200" s="8" t="s">
        <v>71</v>
      </c>
      <c r="P200" s="11">
        <v>1.5</v>
      </c>
      <c r="Q200" s="11">
        <v>3</v>
      </c>
      <c r="R200" s="11">
        <v>3.1</v>
      </c>
      <c r="S200" s="11">
        <f>P200*4</f>
        <v>6</v>
      </c>
      <c r="T200" s="11">
        <f>Q200*4</f>
        <v>12</v>
      </c>
      <c r="U200" s="11">
        <f>R200*4</f>
        <v>12.4</v>
      </c>
      <c r="V200" s="12">
        <f>(4/3)*3.14*(U200/2)^3</f>
        <v>997.79989333333344</v>
      </c>
      <c r="W200" s="12">
        <f>V200/1000</f>
        <v>0.99779989333333341</v>
      </c>
    </row>
    <row r="201" spans="1:23" x14ac:dyDescent="0.25">
      <c r="A201" s="7">
        <v>200</v>
      </c>
      <c r="B201" s="8" t="s">
        <v>257</v>
      </c>
      <c r="C201" s="8" t="s">
        <v>287</v>
      </c>
      <c r="D201" s="7" t="s">
        <v>280</v>
      </c>
      <c r="E201" s="8" t="s">
        <v>51</v>
      </c>
      <c r="F201" s="7">
        <v>605</v>
      </c>
      <c r="G201" s="7">
        <v>680</v>
      </c>
      <c r="H201" s="7">
        <f>(F201+G201)/2</f>
        <v>642.5</v>
      </c>
      <c r="I201" s="9">
        <v>5</v>
      </c>
      <c r="J201" s="10" t="s">
        <v>65</v>
      </c>
      <c r="K201" s="8" t="s">
        <v>42</v>
      </c>
      <c r="L201" s="8" t="s">
        <v>43</v>
      </c>
      <c r="M201" s="8" t="s">
        <v>39</v>
      </c>
      <c r="N201" s="8"/>
      <c r="O201" s="8" t="s">
        <v>71</v>
      </c>
      <c r="P201" s="11">
        <v>1.6</v>
      </c>
      <c r="Q201" s="11">
        <v>3.1</v>
      </c>
      <c r="R201" s="11">
        <v>3</v>
      </c>
      <c r="S201" s="11">
        <f>P201*4</f>
        <v>6.4</v>
      </c>
      <c r="T201" s="11">
        <f>Q201*4</f>
        <v>12.4</v>
      </c>
      <c r="U201" s="11">
        <f>R201*4</f>
        <v>12</v>
      </c>
      <c r="V201" s="12">
        <f>(4/3)*3.14*(U201/2)^3</f>
        <v>904.31999999999994</v>
      </c>
      <c r="W201" s="12">
        <f>V201/1000</f>
        <v>0.9043199999999999</v>
      </c>
    </row>
    <row r="202" spans="1:23" x14ac:dyDescent="0.25">
      <c r="A202" s="7">
        <v>201</v>
      </c>
      <c r="B202" s="8" t="s">
        <v>257</v>
      </c>
      <c r="C202" s="8" t="s">
        <v>288</v>
      </c>
      <c r="D202" s="7" t="s">
        <v>280</v>
      </c>
      <c r="E202" s="8" t="s">
        <v>51</v>
      </c>
      <c r="F202" s="7">
        <v>605</v>
      </c>
      <c r="G202" s="7">
        <v>680</v>
      </c>
      <c r="H202" s="7">
        <f>(F202+G202)/2</f>
        <v>642.5</v>
      </c>
      <c r="I202" s="9">
        <v>10</v>
      </c>
      <c r="J202" s="10" t="s">
        <v>26</v>
      </c>
      <c r="K202" s="8" t="s">
        <v>42</v>
      </c>
      <c r="L202" s="8" t="s">
        <v>43</v>
      </c>
      <c r="M202" s="8" t="s">
        <v>39</v>
      </c>
      <c r="N202" s="8"/>
      <c r="O202" s="8" t="s">
        <v>40</v>
      </c>
      <c r="P202" s="11">
        <v>2.1</v>
      </c>
      <c r="Q202" s="11">
        <v>5.0999999999999996</v>
      </c>
      <c r="R202" s="11">
        <v>3.9</v>
      </c>
      <c r="S202" s="11">
        <f>P202*4</f>
        <v>8.4</v>
      </c>
      <c r="T202" s="11">
        <f>Q202*4</f>
        <v>20.399999999999999</v>
      </c>
      <c r="U202" s="11">
        <f>R202*4</f>
        <v>15.6</v>
      </c>
      <c r="V202" s="12">
        <f>4/3*3.14*U202^2*T202</f>
        <v>20784.890879999995</v>
      </c>
      <c r="W202" s="12">
        <f>V202/1000</f>
        <v>20.784890879999995</v>
      </c>
    </row>
    <row r="203" spans="1:23" x14ac:dyDescent="0.25">
      <c r="A203" s="7">
        <v>202</v>
      </c>
      <c r="B203" s="8" t="s">
        <v>257</v>
      </c>
      <c r="C203" s="8" t="s">
        <v>289</v>
      </c>
      <c r="D203" s="7" t="s">
        <v>276</v>
      </c>
      <c r="E203" s="8" t="s">
        <v>51</v>
      </c>
      <c r="F203" s="7">
        <v>540</v>
      </c>
      <c r="G203" s="7">
        <v>605</v>
      </c>
      <c r="H203" s="7">
        <f>(F203+G203)/2</f>
        <v>572.5</v>
      </c>
      <c r="I203" s="9">
        <v>5</v>
      </c>
      <c r="J203" s="10" t="s">
        <v>65</v>
      </c>
      <c r="K203" s="8" t="s">
        <v>42</v>
      </c>
      <c r="L203" s="8" t="s">
        <v>43</v>
      </c>
      <c r="M203" s="8" t="s">
        <v>39</v>
      </c>
      <c r="N203" s="8"/>
      <c r="O203" s="8" t="s">
        <v>40</v>
      </c>
      <c r="P203" s="11">
        <v>1.5</v>
      </c>
      <c r="Q203" s="11">
        <v>2</v>
      </c>
      <c r="R203" s="11">
        <v>2.1</v>
      </c>
      <c r="S203" s="11">
        <f>P203*4</f>
        <v>6</v>
      </c>
      <c r="T203" s="11">
        <f>Q203*4</f>
        <v>8</v>
      </c>
      <c r="U203" s="11">
        <f>R203*4</f>
        <v>8.4</v>
      </c>
      <c r="V203" s="12">
        <f>(4/3)*3.14*(U203/2)^3</f>
        <v>310.18176</v>
      </c>
      <c r="W203" s="12">
        <f>V203/1000</f>
        <v>0.31018175999999997</v>
      </c>
    </row>
    <row r="204" spans="1:23" x14ac:dyDescent="0.25">
      <c r="A204" s="7">
        <v>203</v>
      </c>
      <c r="B204" s="8" t="s">
        <v>257</v>
      </c>
      <c r="C204" s="8" t="s">
        <v>290</v>
      </c>
      <c r="D204" s="7" t="s">
        <v>259</v>
      </c>
      <c r="E204" s="8" t="s">
        <v>51</v>
      </c>
      <c r="F204" s="7">
        <v>300</v>
      </c>
      <c r="G204" s="7">
        <v>440</v>
      </c>
      <c r="H204" s="7">
        <f>(F204+G204)/2</f>
        <v>370</v>
      </c>
      <c r="I204" s="9">
        <v>10</v>
      </c>
      <c r="J204" s="10" t="s">
        <v>34</v>
      </c>
      <c r="K204" s="8" t="s">
        <v>291</v>
      </c>
      <c r="L204" s="8" t="s">
        <v>109</v>
      </c>
      <c r="M204" s="8" t="s">
        <v>39</v>
      </c>
      <c r="N204" s="8"/>
      <c r="O204" s="8" t="s">
        <v>40</v>
      </c>
      <c r="P204" s="11">
        <v>5.3</v>
      </c>
      <c r="Q204" s="11">
        <v>7.1</v>
      </c>
      <c r="R204" s="11">
        <v>6.4</v>
      </c>
      <c r="S204" s="11">
        <f>P204*4</f>
        <v>21.2</v>
      </c>
      <c r="T204" s="11">
        <f>Q204*4</f>
        <v>28.4</v>
      </c>
      <c r="U204" s="11">
        <f>R204*4</f>
        <v>25.6</v>
      </c>
      <c r="V204" s="12">
        <f>4/3*3.14*U204^2*T204</f>
        <v>77923.177813333343</v>
      </c>
      <c r="W204" s="12">
        <f>V204/1000</f>
        <v>77.923177813333339</v>
      </c>
    </row>
    <row r="205" spans="1:23" x14ac:dyDescent="0.25">
      <c r="A205" s="7">
        <v>204</v>
      </c>
      <c r="B205" s="8" t="s">
        <v>257</v>
      </c>
      <c r="C205" s="8" t="s">
        <v>292</v>
      </c>
      <c r="D205" s="7" t="s">
        <v>259</v>
      </c>
      <c r="E205" s="8" t="s">
        <v>51</v>
      </c>
      <c r="F205" s="7">
        <v>300</v>
      </c>
      <c r="G205" s="7">
        <v>440</v>
      </c>
      <c r="H205" s="7">
        <f>(F205+G205)/2</f>
        <v>370</v>
      </c>
      <c r="I205" s="9">
        <v>5</v>
      </c>
      <c r="J205" s="10" t="s">
        <v>32</v>
      </c>
      <c r="K205" s="8" t="s">
        <v>68</v>
      </c>
      <c r="L205" s="8" t="s">
        <v>28</v>
      </c>
      <c r="M205" s="8" t="s">
        <v>39</v>
      </c>
      <c r="N205" s="8"/>
      <c r="O205" s="8" t="s">
        <v>40</v>
      </c>
      <c r="P205" s="11">
        <v>7.8</v>
      </c>
      <c r="Q205" s="11">
        <v>9.6</v>
      </c>
      <c r="R205" s="11">
        <v>9.8000000000000007</v>
      </c>
      <c r="S205" s="11">
        <f>P205*4</f>
        <v>31.2</v>
      </c>
      <c r="T205" s="11">
        <f>Q205*4</f>
        <v>38.4</v>
      </c>
      <c r="U205" s="11">
        <f>R205*4</f>
        <v>39.200000000000003</v>
      </c>
      <c r="V205" s="12">
        <f>(4/3)*3.14*(U205/2)^3</f>
        <v>31523.657386666673</v>
      </c>
      <c r="W205" s="12">
        <f>V205/1000</f>
        <v>31.523657386666674</v>
      </c>
    </row>
    <row r="206" spans="1:23" x14ac:dyDescent="0.25">
      <c r="A206" s="7">
        <v>205</v>
      </c>
      <c r="B206" s="8" t="s">
        <v>257</v>
      </c>
      <c r="C206" s="8" t="s">
        <v>293</v>
      </c>
      <c r="D206" s="7" t="s">
        <v>294</v>
      </c>
      <c r="E206" s="8" t="s">
        <v>51</v>
      </c>
      <c r="F206" s="7">
        <v>440</v>
      </c>
      <c r="G206" s="7">
        <v>605</v>
      </c>
      <c r="H206" s="7">
        <f>(F206+G206)/2</f>
        <v>522.5</v>
      </c>
      <c r="I206" s="9">
        <v>5</v>
      </c>
      <c r="J206" s="10" t="s">
        <v>34</v>
      </c>
      <c r="K206" s="8" t="s">
        <v>295</v>
      </c>
      <c r="L206" s="8" t="s">
        <v>43</v>
      </c>
      <c r="M206" s="8" t="s">
        <v>39</v>
      </c>
      <c r="N206" s="8"/>
      <c r="O206" s="8" t="s">
        <v>40</v>
      </c>
      <c r="P206" s="11">
        <v>5</v>
      </c>
      <c r="Q206" s="11">
        <v>8.9</v>
      </c>
      <c r="R206" s="11">
        <v>8.1</v>
      </c>
      <c r="S206" s="11">
        <f>P206*4</f>
        <v>20</v>
      </c>
      <c r="T206" s="11">
        <f>Q206*4</f>
        <v>35.6</v>
      </c>
      <c r="U206" s="11">
        <f>R206*4</f>
        <v>32.4</v>
      </c>
      <c r="V206" s="12">
        <f>(4/3)*3.14*(U206/2)^3</f>
        <v>17799.730559999996</v>
      </c>
      <c r="W206" s="12">
        <f>V206/1000</f>
        <v>17.799730559999997</v>
      </c>
    </row>
    <row r="207" spans="1:23" x14ac:dyDescent="0.25">
      <c r="A207" s="7">
        <v>206</v>
      </c>
      <c r="B207" s="8" t="s">
        <v>257</v>
      </c>
      <c r="C207" s="8" t="s">
        <v>296</v>
      </c>
      <c r="D207" s="7" t="s">
        <v>294</v>
      </c>
      <c r="E207" s="8" t="s">
        <v>51</v>
      </c>
      <c r="F207" s="7">
        <v>440</v>
      </c>
      <c r="G207" s="7">
        <v>605</v>
      </c>
      <c r="H207" s="7">
        <f>(F207+G207)/2</f>
        <v>522.5</v>
      </c>
      <c r="I207" s="9">
        <v>5</v>
      </c>
      <c r="J207" s="10" t="s">
        <v>32</v>
      </c>
      <c r="K207" s="8" t="s">
        <v>295</v>
      </c>
      <c r="L207" s="8" t="s">
        <v>43</v>
      </c>
      <c r="M207" s="8" t="s">
        <v>39</v>
      </c>
      <c r="N207" s="8"/>
      <c r="O207" s="8" t="s">
        <v>40</v>
      </c>
      <c r="P207" s="11">
        <v>6.1</v>
      </c>
      <c r="Q207" s="11">
        <v>10.4</v>
      </c>
      <c r="R207" s="11">
        <v>9.6999999999999993</v>
      </c>
      <c r="S207" s="11">
        <f>P207*4</f>
        <v>24.4</v>
      </c>
      <c r="T207" s="11">
        <f>Q207*4</f>
        <v>41.6</v>
      </c>
      <c r="U207" s="11">
        <f>R207*4</f>
        <v>38.799999999999997</v>
      </c>
      <c r="V207" s="12">
        <f>(4/3)*3.14*(U207/2)^3</f>
        <v>30568.461013333326</v>
      </c>
      <c r="W207" s="12">
        <f>V207/1000</f>
        <v>30.568461013333327</v>
      </c>
    </row>
    <row r="208" spans="1:23" x14ac:dyDescent="0.25">
      <c r="A208" s="7">
        <v>207</v>
      </c>
      <c r="B208" s="8" t="s">
        <v>257</v>
      </c>
      <c r="C208" s="8" t="s">
        <v>297</v>
      </c>
      <c r="D208" s="7" t="s">
        <v>259</v>
      </c>
      <c r="E208" s="8" t="s">
        <v>51</v>
      </c>
      <c r="F208" s="7">
        <v>300</v>
      </c>
      <c r="G208" s="7">
        <v>440</v>
      </c>
      <c r="H208" s="7">
        <f>(F208+G208)/2</f>
        <v>370</v>
      </c>
      <c r="I208" s="9">
        <v>9</v>
      </c>
      <c r="J208" s="10" t="s">
        <v>34</v>
      </c>
      <c r="K208" s="8" t="s">
        <v>295</v>
      </c>
      <c r="L208" s="8" t="s">
        <v>43</v>
      </c>
      <c r="M208" s="8" t="s">
        <v>39</v>
      </c>
      <c r="N208" s="8"/>
      <c r="O208" s="8" t="s">
        <v>40</v>
      </c>
      <c r="P208" s="11">
        <v>6.4</v>
      </c>
      <c r="Q208" s="11">
        <v>7.1</v>
      </c>
      <c r="R208" s="11">
        <v>6.9</v>
      </c>
      <c r="S208" s="11">
        <f>P208*4</f>
        <v>25.6</v>
      </c>
      <c r="T208" s="11">
        <f>Q208*4</f>
        <v>28.4</v>
      </c>
      <c r="U208" s="11">
        <f>R208*4</f>
        <v>27.6</v>
      </c>
      <c r="V208" s="12">
        <f>4/3*3.14*U208^2*T208</f>
        <v>90574.279680000007</v>
      </c>
      <c r="W208" s="12">
        <f>V208/1000</f>
        <v>90.574279680000004</v>
      </c>
    </row>
    <row r="209" spans="1:23" x14ac:dyDescent="0.25">
      <c r="A209" s="7">
        <v>208</v>
      </c>
      <c r="B209" s="8" t="s">
        <v>257</v>
      </c>
      <c r="C209" s="8" t="s">
        <v>298</v>
      </c>
      <c r="D209" s="7" t="s">
        <v>280</v>
      </c>
      <c r="E209" s="8" t="s">
        <v>51</v>
      </c>
      <c r="F209" s="7">
        <v>605</v>
      </c>
      <c r="G209" s="7">
        <v>680</v>
      </c>
      <c r="H209" s="7">
        <f>(F209+G209)/2</f>
        <v>642.5</v>
      </c>
      <c r="I209" s="9">
        <v>5</v>
      </c>
      <c r="J209" s="10" t="s">
        <v>34</v>
      </c>
      <c r="K209" s="8" t="s">
        <v>299</v>
      </c>
      <c r="L209" s="8" t="s">
        <v>43</v>
      </c>
      <c r="M209" s="8" t="s">
        <v>39</v>
      </c>
      <c r="N209" s="8"/>
      <c r="O209" s="8" t="s">
        <v>40</v>
      </c>
      <c r="P209" s="11">
        <v>7.6</v>
      </c>
      <c r="Q209" s="11">
        <v>8.3000000000000007</v>
      </c>
      <c r="R209" s="11">
        <v>8.6</v>
      </c>
      <c r="S209" s="11">
        <f>P209*4</f>
        <v>30.4</v>
      </c>
      <c r="T209" s="11">
        <f>Q209*4</f>
        <v>33.200000000000003</v>
      </c>
      <c r="U209" s="11">
        <f>R209*4</f>
        <v>34.4</v>
      </c>
      <c r="V209" s="12">
        <f>(4/3)*3.14*(U209/2)^3</f>
        <v>21303.635626666663</v>
      </c>
      <c r="W209" s="12">
        <f>V209/1000</f>
        <v>21.303635626666662</v>
      </c>
    </row>
    <row r="210" spans="1:23" x14ac:dyDescent="0.25">
      <c r="A210" s="7">
        <v>209</v>
      </c>
      <c r="B210" s="8" t="s">
        <v>257</v>
      </c>
      <c r="C210" s="8" t="s">
        <v>300</v>
      </c>
      <c r="D210" s="7" t="s">
        <v>274</v>
      </c>
      <c r="E210" s="8" t="s">
        <v>51</v>
      </c>
      <c r="F210" s="7">
        <v>440</v>
      </c>
      <c r="G210" s="7">
        <v>640</v>
      </c>
      <c r="H210" s="7">
        <f>(F210+G210)/2</f>
        <v>540</v>
      </c>
      <c r="I210" s="9">
        <v>5</v>
      </c>
      <c r="J210" s="10" t="s">
        <v>32</v>
      </c>
      <c r="K210" s="8" t="s">
        <v>295</v>
      </c>
      <c r="L210" s="8" t="s">
        <v>43</v>
      </c>
      <c r="M210" s="8" t="s">
        <v>39</v>
      </c>
      <c r="N210" s="8"/>
      <c r="O210" s="8" t="s">
        <v>40</v>
      </c>
      <c r="P210" s="11">
        <v>8.4</v>
      </c>
      <c r="Q210" s="11">
        <v>11.5</v>
      </c>
      <c r="R210" s="11">
        <v>11.1</v>
      </c>
      <c r="S210" s="11">
        <f>P210*4</f>
        <v>33.6</v>
      </c>
      <c r="T210" s="11">
        <f>Q210*4</f>
        <v>46</v>
      </c>
      <c r="U210" s="11">
        <f>R210*4</f>
        <v>44.4</v>
      </c>
      <c r="V210" s="12">
        <f>(4/3)*3.14*(U210/2)^3</f>
        <v>45806.520959999994</v>
      </c>
      <c r="W210" s="12">
        <f>V210/1000</f>
        <v>45.806520959999993</v>
      </c>
    </row>
    <row r="211" spans="1:23" x14ac:dyDescent="0.25">
      <c r="A211" s="7">
        <v>210</v>
      </c>
      <c r="B211" s="8" t="s">
        <v>257</v>
      </c>
      <c r="C211" s="8" t="s">
        <v>301</v>
      </c>
      <c r="D211" s="7" t="s">
        <v>280</v>
      </c>
      <c r="E211" s="8" t="s">
        <v>51</v>
      </c>
      <c r="F211" s="7">
        <v>605</v>
      </c>
      <c r="G211" s="7">
        <v>680</v>
      </c>
      <c r="H211" s="7">
        <f>(F211+G211)/2</f>
        <v>642.5</v>
      </c>
      <c r="I211" s="9">
        <v>5</v>
      </c>
      <c r="J211" s="10" t="s">
        <v>32</v>
      </c>
      <c r="K211" s="8" t="s">
        <v>295</v>
      </c>
      <c r="L211" s="8" t="s">
        <v>43</v>
      </c>
      <c r="M211" s="8" t="s">
        <v>39</v>
      </c>
      <c r="N211" s="8"/>
      <c r="O211" s="8" t="s">
        <v>40</v>
      </c>
      <c r="P211" s="11">
        <v>8.1</v>
      </c>
      <c r="Q211" s="11">
        <v>11.1</v>
      </c>
      <c r="R211" s="11">
        <v>10</v>
      </c>
      <c r="S211" s="11">
        <f>P211*4</f>
        <v>32.4</v>
      </c>
      <c r="T211" s="11">
        <f>Q211*4</f>
        <v>44.4</v>
      </c>
      <c r="U211" s="11">
        <f>R211*4</f>
        <v>40</v>
      </c>
      <c r="V211" s="12">
        <f>(4/3)*3.14*(U211/2)^3</f>
        <v>33493.333333333336</v>
      </c>
      <c r="W211" s="12">
        <f>V211/1000</f>
        <v>33.493333333333332</v>
      </c>
    </row>
    <row r="212" spans="1:23" x14ac:dyDescent="0.25">
      <c r="A212" s="7">
        <v>211</v>
      </c>
      <c r="B212" s="8" t="s">
        <v>257</v>
      </c>
      <c r="C212" s="8" t="s">
        <v>302</v>
      </c>
      <c r="D212" s="7" t="s">
        <v>259</v>
      </c>
      <c r="E212" s="8" t="s">
        <v>51</v>
      </c>
      <c r="F212" s="7">
        <v>300</v>
      </c>
      <c r="G212" s="7">
        <v>440</v>
      </c>
      <c r="H212" s="7">
        <f>(F212+G212)/2</f>
        <v>370</v>
      </c>
      <c r="I212" s="9">
        <v>9</v>
      </c>
      <c r="J212" s="10" t="s">
        <v>32</v>
      </c>
      <c r="K212" s="8" t="s">
        <v>261</v>
      </c>
      <c r="L212" s="8" t="s">
        <v>28</v>
      </c>
      <c r="M212" s="8" t="s">
        <v>39</v>
      </c>
      <c r="N212" s="8"/>
      <c r="O212" s="8" t="s">
        <v>40</v>
      </c>
      <c r="P212" s="11">
        <v>9.5</v>
      </c>
      <c r="Q212" s="11">
        <v>13.7</v>
      </c>
      <c r="R212" s="11">
        <v>11.1</v>
      </c>
      <c r="S212" s="11">
        <f>P212*4</f>
        <v>38</v>
      </c>
      <c r="T212" s="11">
        <f>Q212*4</f>
        <v>54.8</v>
      </c>
      <c r="U212" s="11">
        <f>R212*4</f>
        <v>44.4</v>
      </c>
      <c r="V212" s="12">
        <f>4/3*3.14*U212^2*T212</f>
        <v>452287.81055999995</v>
      </c>
      <c r="W212" s="12">
        <f>V212/1000</f>
        <v>452.28781055999997</v>
      </c>
    </row>
    <row r="213" spans="1:23" x14ac:dyDescent="0.25">
      <c r="A213" s="7">
        <v>212</v>
      </c>
      <c r="B213" s="8" t="s">
        <v>257</v>
      </c>
      <c r="C213" s="8" t="s">
        <v>303</v>
      </c>
      <c r="D213" s="7" t="s">
        <v>259</v>
      </c>
      <c r="E213" s="8" t="s">
        <v>51</v>
      </c>
      <c r="F213" s="7">
        <v>300</v>
      </c>
      <c r="G213" s="7">
        <v>440</v>
      </c>
      <c r="H213" s="7">
        <f>(F213+G213)/2</f>
        <v>370</v>
      </c>
      <c r="I213" s="9">
        <v>5</v>
      </c>
      <c r="J213" s="10" t="s">
        <v>65</v>
      </c>
      <c r="K213" s="8" t="s">
        <v>42</v>
      </c>
      <c r="L213" s="8" t="s">
        <v>43</v>
      </c>
      <c r="M213" s="8" t="s">
        <v>39</v>
      </c>
      <c r="N213" s="8"/>
      <c r="O213" s="8" t="s">
        <v>71</v>
      </c>
      <c r="P213" s="11">
        <v>2.2999999999999998</v>
      </c>
      <c r="Q213" s="11">
        <v>3.4</v>
      </c>
      <c r="R213" s="11">
        <v>3.2</v>
      </c>
      <c r="S213" s="11">
        <f>P213*4</f>
        <v>9.1999999999999993</v>
      </c>
      <c r="T213" s="11">
        <f>Q213*4</f>
        <v>13.6</v>
      </c>
      <c r="U213" s="11">
        <f>R213*4</f>
        <v>12.8</v>
      </c>
      <c r="V213" s="12">
        <f>(4/3)*3.14*(U213/2)^3</f>
        <v>1097.5095466666669</v>
      </c>
      <c r="W213" s="12">
        <f>V213/1000</f>
        <v>1.0975095466666669</v>
      </c>
    </row>
    <row r="214" spans="1:23" x14ac:dyDescent="0.25">
      <c r="A214" s="7">
        <v>213</v>
      </c>
      <c r="B214" s="8" t="s">
        <v>257</v>
      </c>
      <c r="C214" s="8" t="s">
        <v>304</v>
      </c>
      <c r="D214" s="7" t="s">
        <v>259</v>
      </c>
      <c r="E214" s="8" t="s">
        <v>51</v>
      </c>
      <c r="F214" s="7">
        <v>300</v>
      </c>
      <c r="G214" s="7">
        <v>440</v>
      </c>
      <c r="H214" s="7">
        <f>(F214+G214)/2</f>
        <v>370</v>
      </c>
      <c r="I214" s="9">
        <v>5</v>
      </c>
      <c r="J214" s="10" t="s">
        <v>65</v>
      </c>
      <c r="K214" s="8" t="s">
        <v>42</v>
      </c>
      <c r="L214" s="8" t="s">
        <v>43</v>
      </c>
      <c r="M214" s="8" t="s">
        <v>39</v>
      </c>
      <c r="N214" s="8"/>
      <c r="O214" s="8" t="s">
        <v>71</v>
      </c>
      <c r="P214" s="11">
        <v>2.2999999999999998</v>
      </c>
      <c r="Q214" s="11">
        <v>3.7</v>
      </c>
      <c r="R214" s="11">
        <v>3.3</v>
      </c>
      <c r="S214" s="11">
        <f>P214*4</f>
        <v>9.1999999999999993</v>
      </c>
      <c r="T214" s="11">
        <f>Q214*4</f>
        <v>14.8</v>
      </c>
      <c r="U214" s="11">
        <f>R214*4</f>
        <v>13.2</v>
      </c>
      <c r="V214" s="12">
        <f>(4/3)*3.14*(U214/2)^3</f>
        <v>1203.6499199999998</v>
      </c>
      <c r="W214" s="12">
        <f>V214/1000</f>
        <v>1.2036499199999999</v>
      </c>
    </row>
    <row r="215" spans="1:23" x14ac:dyDescent="0.25">
      <c r="A215" s="7">
        <v>214</v>
      </c>
      <c r="B215" s="8" t="s">
        <v>257</v>
      </c>
      <c r="C215" s="8" t="s">
        <v>305</v>
      </c>
      <c r="D215" s="7" t="s">
        <v>259</v>
      </c>
      <c r="E215" s="8" t="s">
        <v>51</v>
      </c>
      <c r="F215" s="7">
        <v>300</v>
      </c>
      <c r="G215" s="7">
        <v>440</v>
      </c>
      <c r="H215" s="7">
        <f>(F215+G215)/2</f>
        <v>370</v>
      </c>
      <c r="I215" s="9">
        <v>5</v>
      </c>
      <c r="J215" s="10" t="s">
        <v>26</v>
      </c>
      <c r="K215" s="8" t="s">
        <v>42</v>
      </c>
      <c r="L215" s="8" t="s">
        <v>43</v>
      </c>
      <c r="M215" s="8" t="s">
        <v>39</v>
      </c>
      <c r="N215" s="8"/>
      <c r="O215" s="8" t="s">
        <v>71</v>
      </c>
      <c r="P215" s="11">
        <v>3.4</v>
      </c>
      <c r="Q215" s="11">
        <v>4.2</v>
      </c>
      <c r="R215" s="11">
        <v>4.0999999999999996</v>
      </c>
      <c r="S215" s="11">
        <f>P215*4</f>
        <v>13.6</v>
      </c>
      <c r="T215" s="11">
        <f>Q215*4</f>
        <v>16.8</v>
      </c>
      <c r="U215" s="11">
        <f>R215*4</f>
        <v>16.399999999999999</v>
      </c>
      <c r="V215" s="12">
        <f>(4/3)*3.14*(U215/2)^3</f>
        <v>2308.3940266666664</v>
      </c>
      <c r="W215" s="12">
        <f>V215/1000</f>
        <v>2.3083940266666665</v>
      </c>
    </row>
    <row r="216" spans="1:23" x14ac:dyDescent="0.25">
      <c r="A216" s="7">
        <v>215</v>
      </c>
      <c r="B216" s="8" t="s">
        <v>257</v>
      </c>
      <c r="C216" s="8" t="s">
        <v>306</v>
      </c>
      <c r="D216" s="7" t="s">
        <v>259</v>
      </c>
      <c r="E216" s="8" t="s">
        <v>51</v>
      </c>
      <c r="F216" s="7">
        <v>300</v>
      </c>
      <c r="G216" s="7">
        <v>440</v>
      </c>
      <c r="H216" s="7">
        <f>(F216+G216)/2</f>
        <v>370</v>
      </c>
      <c r="I216" s="9">
        <v>5</v>
      </c>
      <c r="J216" s="10" t="s">
        <v>26</v>
      </c>
      <c r="K216" s="8" t="s">
        <v>42</v>
      </c>
      <c r="L216" s="8" t="s">
        <v>43</v>
      </c>
      <c r="M216" s="8" t="s">
        <v>39</v>
      </c>
      <c r="N216" s="8"/>
      <c r="O216" s="8" t="s">
        <v>71</v>
      </c>
      <c r="P216" s="11">
        <v>3.1</v>
      </c>
      <c r="Q216" s="11">
        <v>6.5</v>
      </c>
      <c r="R216" s="11">
        <v>5.9</v>
      </c>
      <c r="S216" s="11">
        <f>P216*4</f>
        <v>12.4</v>
      </c>
      <c r="T216" s="11">
        <f>Q216*4</f>
        <v>26</v>
      </c>
      <c r="U216" s="11">
        <f>R216*4</f>
        <v>23.6</v>
      </c>
      <c r="V216" s="12">
        <f>(4/3)*3.14*(U216/2)^3</f>
        <v>6878.827306666667</v>
      </c>
      <c r="W216" s="12">
        <f>V216/1000</f>
        <v>6.8788273066666674</v>
      </c>
    </row>
    <row r="217" spans="1:23" x14ac:dyDescent="0.25">
      <c r="A217" s="7">
        <v>216</v>
      </c>
      <c r="B217" s="8" t="s">
        <v>257</v>
      </c>
      <c r="C217" s="8" t="s">
        <v>307</v>
      </c>
      <c r="D217" s="7" t="s">
        <v>259</v>
      </c>
      <c r="E217" s="8" t="s">
        <v>51</v>
      </c>
      <c r="F217" s="7">
        <v>300</v>
      </c>
      <c r="G217" s="7">
        <v>440</v>
      </c>
      <c r="H217" s="7">
        <f>(F217+G217)/2</f>
        <v>370</v>
      </c>
      <c r="I217" s="9">
        <v>5</v>
      </c>
      <c r="J217" s="10" t="s">
        <v>26</v>
      </c>
      <c r="K217" s="8" t="s">
        <v>42</v>
      </c>
      <c r="L217" s="8" t="s">
        <v>43</v>
      </c>
      <c r="M217" s="8" t="s">
        <v>39</v>
      </c>
      <c r="N217" s="8"/>
      <c r="O217" s="8" t="s">
        <v>40</v>
      </c>
      <c r="P217" s="11">
        <v>4.0999999999999996</v>
      </c>
      <c r="Q217" s="11">
        <v>6.4</v>
      </c>
      <c r="R217" s="11">
        <v>5.6</v>
      </c>
      <c r="S217" s="11">
        <f>P217*4</f>
        <v>16.399999999999999</v>
      </c>
      <c r="T217" s="11">
        <f>Q217*4</f>
        <v>25.6</v>
      </c>
      <c r="U217" s="11">
        <f>R217*4</f>
        <v>22.4</v>
      </c>
      <c r="V217" s="12">
        <f>(4/3)*3.14*(U217/2)^3</f>
        <v>5881.9652266666653</v>
      </c>
      <c r="W217" s="12">
        <f>V217/1000</f>
        <v>5.8819652266666651</v>
      </c>
    </row>
    <row r="218" spans="1:23" x14ac:dyDescent="0.25">
      <c r="A218" s="7">
        <v>217</v>
      </c>
      <c r="B218" s="8" t="s">
        <v>257</v>
      </c>
      <c r="C218" s="8" t="s">
        <v>308</v>
      </c>
      <c r="D218" s="7" t="s">
        <v>259</v>
      </c>
      <c r="E218" s="8" t="s">
        <v>51</v>
      </c>
      <c r="F218" s="7">
        <v>300</v>
      </c>
      <c r="G218" s="7">
        <v>440</v>
      </c>
      <c r="H218" s="7">
        <f>(F218+G218)/2</f>
        <v>370</v>
      </c>
      <c r="I218" s="9">
        <v>5</v>
      </c>
      <c r="J218" s="10" t="s">
        <v>26</v>
      </c>
      <c r="K218" s="8" t="s">
        <v>42</v>
      </c>
      <c r="L218" s="8" t="s">
        <v>43</v>
      </c>
      <c r="M218" s="8" t="s">
        <v>39</v>
      </c>
      <c r="N218" s="8"/>
      <c r="O218" s="8" t="s">
        <v>71</v>
      </c>
      <c r="P218" s="11">
        <v>3.2</v>
      </c>
      <c r="Q218" s="11">
        <v>5.6</v>
      </c>
      <c r="R218" s="11">
        <v>5</v>
      </c>
      <c r="S218" s="11">
        <f>P218*4</f>
        <v>12.8</v>
      </c>
      <c r="T218" s="11">
        <f>Q218*4</f>
        <v>22.4</v>
      </c>
      <c r="U218" s="11">
        <f>R218*4</f>
        <v>20</v>
      </c>
      <c r="V218" s="12">
        <f>(4/3)*3.14*(U218/2)^3</f>
        <v>4186.666666666667</v>
      </c>
      <c r="W218" s="12">
        <f>V218/1000</f>
        <v>4.1866666666666665</v>
      </c>
    </row>
    <row r="219" spans="1:23" x14ac:dyDescent="0.25">
      <c r="A219" s="7">
        <v>218</v>
      </c>
      <c r="B219" s="8" t="s">
        <v>257</v>
      </c>
      <c r="C219" s="8" t="s">
        <v>309</v>
      </c>
      <c r="D219" s="7" t="s">
        <v>259</v>
      </c>
      <c r="E219" s="8" t="s">
        <v>51</v>
      </c>
      <c r="F219" s="7">
        <v>300</v>
      </c>
      <c r="G219" s="7">
        <v>440</v>
      </c>
      <c r="H219" s="7">
        <f>(F219+G219)/2</f>
        <v>370</v>
      </c>
      <c r="I219" s="9">
        <v>10</v>
      </c>
      <c r="J219" s="10" t="s">
        <v>32</v>
      </c>
      <c r="K219" s="8" t="s">
        <v>77</v>
      </c>
      <c r="L219" s="8" t="s">
        <v>77</v>
      </c>
      <c r="M219" s="8" t="s">
        <v>39</v>
      </c>
      <c r="N219" s="8"/>
      <c r="O219" s="8" t="s">
        <v>71</v>
      </c>
      <c r="P219" s="11">
        <v>3.7</v>
      </c>
      <c r="Q219" s="11">
        <v>10.4</v>
      </c>
      <c r="R219" s="11">
        <v>8.8000000000000007</v>
      </c>
      <c r="S219" s="11">
        <f>P219*4</f>
        <v>14.8</v>
      </c>
      <c r="T219" s="11">
        <f>Q219*4</f>
        <v>41.6</v>
      </c>
      <c r="U219" s="11">
        <f>R219*4</f>
        <v>35.200000000000003</v>
      </c>
      <c r="V219" s="12">
        <f>4/3*3.14*U219^2*T219</f>
        <v>215797.81461333338</v>
      </c>
      <c r="W219" s="12">
        <f>V219/1000</f>
        <v>215.79781461333337</v>
      </c>
    </row>
    <row r="220" spans="1:23" x14ac:dyDescent="0.25">
      <c r="A220" s="7">
        <v>219</v>
      </c>
      <c r="B220" s="8" t="s">
        <v>257</v>
      </c>
      <c r="C220" s="8" t="s">
        <v>310</v>
      </c>
      <c r="D220" s="7" t="s">
        <v>280</v>
      </c>
      <c r="E220" s="8" t="s">
        <v>51</v>
      </c>
      <c r="F220" s="7">
        <v>605</v>
      </c>
      <c r="G220" s="7">
        <v>680</v>
      </c>
      <c r="H220" s="7">
        <f>(F220+G220)/2</f>
        <v>642.5</v>
      </c>
      <c r="I220" s="9">
        <v>10</v>
      </c>
      <c r="J220" s="10" t="s">
        <v>26</v>
      </c>
      <c r="K220" s="8" t="s">
        <v>42</v>
      </c>
      <c r="L220" s="8" t="s">
        <v>43</v>
      </c>
      <c r="M220" s="8" t="s">
        <v>39</v>
      </c>
      <c r="N220" s="8"/>
      <c r="O220" s="8" t="s">
        <v>40</v>
      </c>
      <c r="P220" s="11">
        <v>2.6</v>
      </c>
      <c r="Q220" s="11">
        <v>5.7</v>
      </c>
      <c r="R220" s="11">
        <v>4.5</v>
      </c>
      <c r="S220" s="11">
        <f>P220*4</f>
        <v>10.4</v>
      </c>
      <c r="T220" s="11">
        <f>Q220*4</f>
        <v>22.8</v>
      </c>
      <c r="U220" s="11">
        <f>R220*4</f>
        <v>18</v>
      </c>
      <c r="V220" s="12">
        <f>4/3*3.14*U220^2*T220</f>
        <v>30927.744000000002</v>
      </c>
      <c r="W220" s="12">
        <f>V220/1000</f>
        <v>30.927744000000004</v>
      </c>
    </row>
    <row r="221" spans="1:23" x14ac:dyDescent="0.25">
      <c r="A221" s="7">
        <v>220</v>
      </c>
      <c r="B221" s="8" t="s">
        <v>257</v>
      </c>
      <c r="C221" s="8" t="s">
        <v>311</v>
      </c>
      <c r="D221" s="7" t="s">
        <v>312</v>
      </c>
      <c r="E221" s="8" t="s">
        <v>51</v>
      </c>
      <c r="F221" s="7">
        <v>390</v>
      </c>
      <c r="G221" s="7">
        <v>540</v>
      </c>
      <c r="H221" s="7">
        <f>(F221+G221)/2</f>
        <v>465</v>
      </c>
      <c r="I221" s="9">
        <v>5</v>
      </c>
      <c r="J221" s="10" t="s">
        <v>26</v>
      </c>
      <c r="K221" s="8" t="s">
        <v>42</v>
      </c>
      <c r="L221" s="8" t="s">
        <v>43</v>
      </c>
      <c r="M221" s="8" t="s">
        <v>39</v>
      </c>
      <c r="N221" s="8"/>
      <c r="O221" s="8" t="s">
        <v>40</v>
      </c>
      <c r="P221" s="11">
        <v>3.8</v>
      </c>
      <c r="Q221" s="11">
        <v>6</v>
      </c>
      <c r="R221" s="11">
        <v>5.9</v>
      </c>
      <c r="S221" s="11">
        <f>P221*4</f>
        <v>15.2</v>
      </c>
      <c r="T221" s="11">
        <f>Q221*4</f>
        <v>24</v>
      </c>
      <c r="U221" s="11">
        <f>R221*4</f>
        <v>23.6</v>
      </c>
      <c r="V221" s="12">
        <f>(4/3)*3.14*(U221/2)^3</f>
        <v>6878.827306666667</v>
      </c>
      <c r="W221" s="12">
        <f>V221/1000</f>
        <v>6.8788273066666674</v>
      </c>
    </row>
    <row r="222" spans="1:23" x14ac:dyDescent="0.25">
      <c r="A222" s="7">
        <v>221</v>
      </c>
      <c r="B222" s="8" t="s">
        <v>257</v>
      </c>
      <c r="C222" s="8" t="s">
        <v>313</v>
      </c>
      <c r="D222" s="7" t="s">
        <v>280</v>
      </c>
      <c r="E222" s="8" t="s">
        <v>51</v>
      </c>
      <c r="F222" s="7">
        <v>605</v>
      </c>
      <c r="G222" s="7">
        <v>680</v>
      </c>
      <c r="H222" s="7">
        <f>(F222+G222)/2</f>
        <v>642.5</v>
      </c>
      <c r="I222" s="9">
        <v>5</v>
      </c>
      <c r="J222" s="10" t="s">
        <v>32</v>
      </c>
      <c r="K222" s="8" t="s">
        <v>96</v>
      </c>
      <c r="L222" s="8" t="s">
        <v>96</v>
      </c>
      <c r="M222" s="8" t="s">
        <v>39</v>
      </c>
      <c r="N222" s="8"/>
      <c r="O222" s="8" t="s">
        <v>40</v>
      </c>
      <c r="P222" s="11">
        <v>4.5999999999999996</v>
      </c>
      <c r="Q222" s="11">
        <v>11.1</v>
      </c>
      <c r="R222" s="11">
        <v>9.3000000000000007</v>
      </c>
      <c r="S222" s="11">
        <f>P222*4</f>
        <v>18.399999999999999</v>
      </c>
      <c r="T222" s="11">
        <f>Q222*4</f>
        <v>44.4</v>
      </c>
      <c r="U222" s="11">
        <f>R222*4</f>
        <v>37.200000000000003</v>
      </c>
      <c r="V222" s="12">
        <f>(4/3)*3.14*(U222/2)^3</f>
        <v>26940.597120000006</v>
      </c>
      <c r="W222" s="12">
        <f>V222/1000</f>
        <v>26.940597120000007</v>
      </c>
    </row>
    <row r="223" spans="1:23" x14ac:dyDescent="0.25">
      <c r="A223" s="7">
        <v>222</v>
      </c>
      <c r="B223" s="8" t="s">
        <v>257</v>
      </c>
      <c r="C223" s="8" t="s">
        <v>314</v>
      </c>
      <c r="D223" s="7" t="s">
        <v>280</v>
      </c>
      <c r="E223" s="8" t="s">
        <v>51</v>
      </c>
      <c r="F223" s="7">
        <v>605</v>
      </c>
      <c r="G223" s="7">
        <v>680</v>
      </c>
      <c r="H223" s="7">
        <f>(F223+G223)/2</f>
        <v>642.5</v>
      </c>
      <c r="I223" s="9">
        <v>5</v>
      </c>
      <c r="J223" s="10" t="s">
        <v>65</v>
      </c>
      <c r="K223" s="8" t="s">
        <v>42</v>
      </c>
      <c r="L223" s="8" t="s">
        <v>43</v>
      </c>
      <c r="M223" s="8" t="s">
        <v>315</v>
      </c>
      <c r="N223" s="8"/>
      <c r="O223" s="8" t="s">
        <v>71</v>
      </c>
      <c r="P223" s="11">
        <v>2.9</v>
      </c>
      <c r="Q223" s="11">
        <v>4.0999999999999996</v>
      </c>
      <c r="R223" s="11">
        <v>3.7</v>
      </c>
      <c r="S223" s="11">
        <f>P223*4</f>
        <v>11.6</v>
      </c>
      <c r="T223" s="11">
        <f>Q223*4</f>
        <v>16.399999999999999</v>
      </c>
      <c r="U223" s="11">
        <f>R223*4</f>
        <v>14.8</v>
      </c>
      <c r="V223" s="12">
        <f>(4/3)*3.14*(U223/2)^3</f>
        <v>1696.5378133333336</v>
      </c>
      <c r="W223" s="12">
        <f>V223/1000</f>
        <v>1.6965378133333335</v>
      </c>
    </row>
    <row r="224" spans="1:23" x14ac:dyDescent="0.25">
      <c r="A224" s="7">
        <v>223</v>
      </c>
      <c r="B224" s="8" t="s">
        <v>257</v>
      </c>
      <c r="C224" s="8" t="s">
        <v>316</v>
      </c>
      <c r="D224" s="7" t="s">
        <v>274</v>
      </c>
      <c r="E224" s="8" t="s">
        <v>51</v>
      </c>
      <c r="F224" s="7">
        <v>440</v>
      </c>
      <c r="G224" s="7">
        <v>640</v>
      </c>
      <c r="H224" s="7">
        <f>(F224+G224)/2</f>
        <v>540</v>
      </c>
      <c r="I224" s="9">
        <v>4</v>
      </c>
      <c r="J224" s="10" t="s">
        <v>32</v>
      </c>
      <c r="K224" s="8" t="s">
        <v>108</v>
      </c>
      <c r="L224" s="8" t="s">
        <v>109</v>
      </c>
      <c r="M224" s="8" t="s">
        <v>39</v>
      </c>
      <c r="N224" s="8"/>
      <c r="O224" s="8" t="s">
        <v>40</v>
      </c>
      <c r="P224" s="11">
        <v>10</v>
      </c>
      <c r="Q224" s="11">
        <v>10</v>
      </c>
      <c r="R224" s="11">
        <v>11.2</v>
      </c>
      <c r="S224" s="11">
        <f>P224*4</f>
        <v>40</v>
      </c>
      <c r="T224" s="11">
        <f>Q224*4</f>
        <v>40</v>
      </c>
      <c r="U224" s="11">
        <f>R224*4</f>
        <v>44.8</v>
      </c>
      <c r="V224" s="12">
        <f>(2/3)*3.14*(U224/2)^3</f>
        <v>23527.860906666661</v>
      </c>
      <c r="W224" s="12">
        <f>V224/1000</f>
        <v>23.52786090666666</v>
      </c>
    </row>
    <row r="225" spans="1:23" x14ac:dyDescent="0.25">
      <c r="A225" s="7">
        <v>224</v>
      </c>
      <c r="B225" s="8" t="s">
        <v>317</v>
      </c>
      <c r="C225" s="8" t="s">
        <v>318</v>
      </c>
      <c r="D225" s="7" t="s">
        <v>319</v>
      </c>
      <c r="E225" s="8" t="s">
        <v>25</v>
      </c>
      <c r="F225" s="7">
        <v>-1700</v>
      </c>
      <c r="G225" s="7">
        <v>-1400</v>
      </c>
      <c r="H225" s="7">
        <f>(F225+G225)/2</f>
        <v>-1550</v>
      </c>
      <c r="I225" s="9">
        <v>5</v>
      </c>
      <c r="J225" s="10" t="s">
        <v>26</v>
      </c>
      <c r="K225" s="8" t="s">
        <v>27</v>
      </c>
      <c r="L225" s="8" t="s">
        <v>28</v>
      </c>
      <c r="M225" s="8"/>
      <c r="N225" s="8"/>
      <c r="O225" s="8" t="s">
        <v>44</v>
      </c>
      <c r="P225" s="11">
        <v>4</v>
      </c>
      <c r="Q225" s="11">
        <v>3.5</v>
      </c>
      <c r="R225" s="11">
        <v>4.8</v>
      </c>
      <c r="S225" s="11">
        <f>P225*4</f>
        <v>16</v>
      </c>
      <c r="T225" s="11">
        <f>Q225*4</f>
        <v>14</v>
      </c>
      <c r="U225" s="11">
        <f>R225*4</f>
        <v>19.2</v>
      </c>
      <c r="V225" s="12">
        <f>(4/3)*3.14*(U225/2)^3</f>
        <v>3704.0947200000001</v>
      </c>
      <c r="W225" s="12">
        <f>V225/1000</f>
        <v>3.7040947200000001</v>
      </c>
    </row>
    <row r="226" spans="1:23" x14ac:dyDescent="0.25">
      <c r="A226" s="7">
        <v>225</v>
      </c>
      <c r="B226" s="8" t="s">
        <v>317</v>
      </c>
      <c r="C226" s="8" t="s">
        <v>320</v>
      </c>
      <c r="D226" s="7" t="s">
        <v>319</v>
      </c>
      <c r="E226" s="8" t="s">
        <v>25</v>
      </c>
      <c r="F226" s="7">
        <v>-1700</v>
      </c>
      <c r="G226" s="7">
        <v>-1400</v>
      </c>
      <c r="H226" s="7">
        <f>(F226+G226)/2</f>
        <v>-1550</v>
      </c>
      <c r="I226" s="9">
        <v>5</v>
      </c>
      <c r="J226" s="10" t="s">
        <v>34</v>
      </c>
      <c r="K226" s="8" t="s">
        <v>68</v>
      </c>
      <c r="L226" s="8" t="s">
        <v>28</v>
      </c>
      <c r="M226" s="8"/>
      <c r="N226" s="8"/>
      <c r="O226" s="8" t="s">
        <v>44</v>
      </c>
      <c r="P226" s="11">
        <v>6.3</v>
      </c>
      <c r="Q226" s="11">
        <v>4.4000000000000004</v>
      </c>
      <c r="R226" s="11">
        <v>6.9</v>
      </c>
      <c r="S226" s="11">
        <f>P226*4</f>
        <v>25.2</v>
      </c>
      <c r="T226" s="11">
        <f>Q226*4</f>
        <v>17.600000000000001</v>
      </c>
      <c r="U226" s="11">
        <f>R226*4</f>
        <v>27.6</v>
      </c>
      <c r="V226" s="12">
        <f>(4/3)*3.14*(U226/2)^3</f>
        <v>11002.861440000002</v>
      </c>
      <c r="W226" s="12">
        <f>V226/1000</f>
        <v>11.002861440000002</v>
      </c>
    </row>
    <row r="227" spans="1:23" x14ac:dyDescent="0.25">
      <c r="A227" s="7">
        <v>226</v>
      </c>
      <c r="B227" s="8" t="s">
        <v>317</v>
      </c>
      <c r="C227" s="8" t="s">
        <v>321</v>
      </c>
      <c r="D227" s="7" t="s">
        <v>319</v>
      </c>
      <c r="E227" s="8" t="s">
        <v>25</v>
      </c>
      <c r="F227" s="7">
        <v>-1700</v>
      </c>
      <c r="G227" s="7">
        <v>-1400</v>
      </c>
      <c r="H227" s="7">
        <f>(F227+G227)/2</f>
        <v>-1550</v>
      </c>
      <c r="I227" s="9">
        <v>5</v>
      </c>
      <c r="J227" s="10" t="s">
        <v>26</v>
      </c>
      <c r="K227" s="8" t="s">
        <v>27</v>
      </c>
      <c r="L227" s="8" t="s">
        <v>28</v>
      </c>
      <c r="M227" s="8"/>
      <c r="N227" s="8"/>
      <c r="O227" s="8" t="s">
        <v>44</v>
      </c>
      <c r="P227" s="11">
        <v>5</v>
      </c>
      <c r="Q227" s="11">
        <v>3.5</v>
      </c>
      <c r="R227" s="11">
        <v>5.7</v>
      </c>
      <c r="S227" s="11">
        <f>P227*4</f>
        <v>20</v>
      </c>
      <c r="T227" s="11">
        <f>Q227*4</f>
        <v>14</v>
      </c>
      <c r="U227" s="11">
        <f>R227*4</f>
        <v>22.8</v>
      </c>
      <c r="V227" s="12">
        <f>(4/3)*3.14*(U227/2)^3</f>
        <v>6202.7308800000001</v>
      </c>
      <c r="W227" s="12">
        <f>V227/1000</f>
        <v>6.2027308799999998</v>
      </c>
    </row>
    <row r="228" spans="1:23" x14ac:dyDescent="0.25">
      <c r="A228" s="7">
        <v>227</v>
      </c>
      <c r="B228" s="8" t="s">
        <v>317</v>
      </c>
      <c r="C228" s="8" t="s">
        <v>322</v>
      </c>
      <c r="D228" s="7" t="s">
        <v>319</v>
      </c>
      <c r="E228" s="8" t="s">
        <v>25</v>
      </c>
      <c r="F228" s="7">
        <v>-1700</v>
      </c>
      <c r="G228" s="7">
        <v>-1400</v>
      </c>
      <c r="H228" s="7">
        <f>(F228+G228)/2</f>
        <v>-1550</v>
      </c>
      <c r="I228" s="9">
        <v>5</v>
      </c>
      <c r="J228" s="10" t="s">
        <v>32</v>
      </c>
      <c r="K228" s="8" t="s">
        <v>27</v>
      </c>
      <c r="L228" s="8" t="s">
        <v>28</v>
      </c>
      <c r="M228" s="8"/>
      <c r="N228" s="8"/>
      <c r="O228" s="8" t="s">
        <v>44</v>
      </c>
      <c r="P228" s="11">
        <v>8</v>
      </c>
      <c r="Q228" s="11">
        <v>6.4</v>
      </c>
      <c r="R228" s="11">
        <v>9.4</v>
      </c>
      <c r="S228" s="11">
        <f>P228*4</f>
        <v>32</v>
      </c>
      <c r="T228" s="11">
        <f>Q228*4</f>
        <v>25.6</v>
      </c>
      <c r="U228" s="11">
        <f>R228*4</f>
        <v>37.6</v>
      </c>
      <c r="V228" s="12">
        <f>(4/3)*3.14*(U228/2)^3</f>
        <v>27819.026773333338</v>
      </c>
      <c r="W228" s="12">
        <f>V228/1000</f>
        <v>27.819026773333338</v>
      </c>
    </row>
    <row r="229" spans="1:23" x14ac:dyDescent="0.25">
      <c r="A229" s="7">
        <v>228</v>
      </c>
      <c r="B229" s="8" t="s">
        <v>317</v>
      </c>
      <c r="C229" s="8" t="s">
        <v>323</v>
      </c>
      <c r="D229" s="7" t="s">
        <v>319</v>
      </c>
      <c r="E229" s="8" t="s">
        <v>25</v>
      </c>
      <c r="F229" s="7">
        <v>-1700</v>
      </c>
      <c r="G229" s="7">
        <v>-1400</v>
      </c>
      <c r="H229" s="7">
        <f>(F229+G229)/2</f>
        <v>-1550</v>
      </c>
      <c r="I229" s="9">
        <v>5</v>
      </c>
      <c r="J229" s="10" t="s">
        <v>34</v>
      </c>
      <c r="K229" s="8" t="s">
        <v>27</v>
      </c>
      <c r="L229" s="8" t="s">
        <v>28</v>
      </c>
      <c r="M229" s="8"/>
      <c r="N229" s="8"/>
      <c r="O229" s="8" t="s">
        <v>44</v>
      </c>
      <c r="P229" s="11">
        <v>5</v>
      </c>
      <c r="Q229" s="11">
        <v>4.8</v>
      </c>
      <c r="R229" s="11">
        <v>6.5</v>
      </c>
      <c r="S229" s="11">
        <f>P229*4</f>
        <v>20</v>
      </c>
      <c r="T229" s="11">
        <f>Q229*4</f>
        <v>19.2</v>
      </c>
      <c r="U229" s="11">
        <f>R229*4</f>
        <v>26</v>
      </c>
      <c r="V229" s="12">
        <f>(4/3)*3.14*(U229/2)^3</f>
        <v>9198.1066666666666</v>
      </c>
      <c r="W229" s="12">
        <f>V229/1000</f>
        <v>9.198106666666666</v>
      </c>
    </row>
    <row r="230" spans="1:23" x14ac:dyDescent="0.25">
      <c r="A230" s="7">
        <v>229</v>
      </c>
      <c r="B230" s="8" t="s">
        <v>317</v>
      </c>
      <c r="C230" s="8" t="s">
        <v>324</v>
      </c>
      <c r="D230" s="7" t="s">
        <v>319</v>
      </c>
      <c r="E230" s="8" t="s">
        <v>25</v>
      </c>
      <c r="F230" s="7">
        <v>-1700</v>
      </c>
      <c r="G230" s="7">
        <v>-1400</v>
      </c>
      <c r="H230" s="7">
        <f>(F230+G230)/2</f>
        <v>-1550</v>
      </c>
      <c r="I230" s="9">
        <v>5</v>
      </c>
      <c r="J230" s="10" t="s">
        <v>26</v>
      </c>
      <c r="K230" s="8" t="s">
        <v>27</v>
      </c>
      <c r="L230" s="8" t="s">
        <v>28</v>
      </c>
      <c r="M230" s="8"/>
      <c r="N230" s="8"/>
      <c r="O230" s="8" t="s">
        <v>44</v>
      </c>
      <c r="P230" s="11">
        <v>4.2</v>
      </c>
      <c r="Q230" s="11">
        <v>3.9</v>
      </c>
      <c r="R230" s="11">
        <v>5.3</v>
      </c>
      <c r="S230" s="11">
        <f>P230*4</f>
        <v>16.8</v>
      </c>
      <c r="T230" s="11">
        <f>Q230*4</f>
        <v>15.6</v>
      </c>
      <c r="U230" s="11">
        <f>R230*4</f>
        <v>21.2</v>
      </c>
      <c r="V230" s="12">
        <f>(4/3)*3.14*(U230/2)^3</f>
        <v>4986.3869866666655</v>
      </c>
      <c r="W230" s="12">
        <f>V230/1000</f>
        <v>4.9863869866666652</v>
      </c>
    </row>
    <row r="231" spans="1:23" x14ac:dyDescent="0.25">
      <c r="A231" s="7">
        <v>230</v>
      </c>
      <c r="B231" s="8" t="s">
        <v>317</v>
      </c>
      <c r="C231" s="8" t="s">
        <v>325</v>
      </c>
      <c r="D231" s="7" t="s">
        <v>319</v>
      </c>
      <c r="E231" s="8" t="s">
        <v>25</v>
      </c>
      <c r="F231" s="7">
        <v>-1700</v>
      </c>
      <c r="G231" s="7">
        <v>-1400</v>
      </c>
      <c r="H231" s="7">
        <f>(F231+G231)/2</f>
        <v>-1550</v>
      </c>
      <c r="I231" s="9">
        <v>5</v>
      </c>
      <c r="J231" s="10" t="s">
        <v>34</v>
      </c>
      <c r="K231" s="8" t="s">
        <v>27</v>
      </c>
      <c r="L231" s="8" t="s">
        <v>28</v>
      </c>
      <c r="M231" s="8"/>
      <c r="N231" s="8"/>
      <c r="O231" s="8" t="s">
        <v>44</v>
      </c>
      <c r="P231" s="11">
        <v>5</v>
      </c>
      <c r="Q231" s="11">
        <v>5.4</v>
      </c>
      <c r="R231" s="11">
        <v>7.4</v>
      </c>
      <c r="S231" s="11">
        <f>P231*4</f>
        <v>20</v>
      </c>
      <c r="T231" s="11">
        <f>Q231*4</f>
        <v>21.6</v>
      </c>
      <c r="U231" s="11">
        <f>R231*4</f>
        <v>29.6</v>
      </c>
      <c r="V231" s="12">
        <f>(4/3)*3.14*(U231/2)^3</f>
        <v>13572.302506666669</v>
      </c>
      <c r="W231" s="12">
        <f>V231/1000</f>
        <v>13.572302506666668</v>
      </c>
    </row>
    <row r="232" spans="1:23" x14ac:dyDescent="0.25">
      <c r="A232" s="7">
        <v>231</v>
      </c>
      <c r="B232" s="8" t="s">
        <v>317</v>
      </c>
      <c r="C232" s="8" t="s">
        <v>326</v>
      </c>
      <c r="D232" s="7" t="s">
        <v>319</v>
      </c>
      <c r="E232" s="8" t="s">
        <v>25</v>
      </c>
      <c r="F232" s="7">
        <v>-1700</v>
      </c>
      <c r="G232" s="7">
        <v>-1400</v>
      </c>
      <c r="H232" s="7">
        <f>(F232+G232)/2</f>
        <v>-1550</v>
      </c>
      <c r="I232" s="9">
        <v>6</v>
      </c>
      <c r="J232" s="10" t="s">
        <v>34</v>
      </c>
      <c r="K232" s="8" t="s">
        <v>27</v>
      </c>
      <c r="L232" s="8" t="s">
        <v>28</v>
      </c>
      <c r="M232" s="8"/>
      <c r="N232" s="8"/>
      <c r="O232" s="8" t="s">
        <v>44</v>
      </c>
      <c r="P232" s="11">
        <v>3.8</v>
      </c>
      <c r="Q232" s="11">
        <v>6.1</v>
      </c>
      <c r="R232" s="11">
        <v>6.7</v>
      </c>
      <c r="S232" s="11">
        <f>P232*4</f>
        <v>15.2</v>
      </c>
      <c r="T232" s="11">
        <f>Q232*4</f>
        <v>24.4</v>
      </c>
      <c r="U232" s="11">
        <f>R232*4</f>
        <v>26.8</v>
      </c>
      <c r="V232" s="12">
        <f>(4/3)*3.14*(U232/2)^3</f>
        <v>10073.555413333333</v>
      </c>
      <c r="W232" s="12">
        <f>V232/1000</f>
        <v>10.073555413333333</v>
      </c>
    </row>
    <row r="233" spans="1:23" x14ac:dyDescent="0.25">
      <c r="A233" s="7">
        <v>232</v>
      </c>
      <c r="B233" s="8" t="s">
        <v>317</v>
      </c>
      <c r="C233" s="8" t="s">
        <v>327</v>
      </c>
      <c r="D233" s="7" t="s">
        <v>319</v>
      </c>
      <c r="E233" s="8" t="s">
        <v>25</v>
      </c>
      <c r="F233" s="7">
        <v>-1700</v>
      </c>
      <c r="G233" s="7">
        <v>-1400</v>
      </c>
      <c r="H233" s="7">
        <f>(F233+G233)/2</f>
        <v>-1550</v>
      </c>
      <c r="I233" s="9">
        <v>5</v>
      </c>
      <c r="J233" s="10" t="s">
        <v>26</v>
      </c>
      <c r="K233" s="8" t="s">
        <v>68</v>
      </c>
      <c r="L233" s="8" t="s">
        <v>28</v>
      </c>
      <c r="M233" s="8"/>
      <c r="N233" s="8"/>
      <c r="O233" s="8" t="s">
        <v>44</v>
      </c>
      <c r="P233" s="11">
        <v>5</v>
      </c>
      <c r="Q233" s="11">
        <v>4.5</v>
      </c>
      <c r="R233" s="11">
        <v>5.9</v>
      </c>
      <c r="S233" s="11">
        <f>P233*4</f>
        <v>20</v>
      </c>
      <c r="T233" s="11">
        <f>Q233*4</f>
        <v>18</v>
      </c>
      <c r="U233" s="11">
        <f>R233*4</f>
        <v>23.6</v>
      </c>
      <c r="V233" s="12">
        <f>(4/3)*3.14*(U233/2)^3</f>
        <v>6878.827306666667</v>
      </c>
      <c r="W233" s="12">
        <f>V233/1000</f>
        <v>6.8788273066666674</v>
      </c>
    </row>
    <row r="234" spans="1:23" x14ac:dyDescent="0.25">
      <c r="A234" s="7">
        <v>233</v>
      </c>
      <c r="B234" s="8" t="s">
        <v>317</v>
      </c>
      <c r="C234" s="8" t="s">
        <v>328</v>
      </c>
      <c r="D234" s="7" t="s">
        <v>319</v>
      </c>
      <c r="E234" s="8" t="s">
        <v>25</v>
      </c>
      <c r="F234" s="7">
        <v>-1700</v>
      </c>
      <c r="G234" s="7">
        <v>-1400</v>
      </c>
      <c r="H234" s="7">
        <f>(F234+G234)/2</f>
        <v>-1550</v>
      </c>
      <c r="I234" s="9">
        <v>5</v>
      </c>
      <c r="J234" s="10" t="s">
        <v>26</v>
      </c>
      <c r="K234" s="8" t="s">
        <v>27</v>
      </c>
      <c r="L234" s="8" t="s">
        <v>28</v>
      </c>
      <c r="M234" s="8"/>
      <c r="N234" s="8"/>
      <c r="O234" s="8" t="s">
        <v>44</v>
      </c>
      <c r="P234" s="11">
        <v>4.3</v>
      </c>
      <c r="Q234" s="11">
        <v>4.5</v>
      </c>
      <c r="R234" s="11">
        <v>5.6</v>
      </c>
      <c r="S234" s="11">
        <f>P234*4</f>
        <v>17.2</v>
      </c>
      <c r="T234" s="11">
        <f>Q234*4</f>
        <v>18</v>
      </c>
      <c r="U234" s="11">
        <f>R234*4</f>
        <v>22.4</v>
      </c>
      <c r="V234" s="12">
        <f>(4/3)*3.14*(U234/2)^3</f>
        <v>5881.9652266666653</v>
      </c>
      <c r="W234" s="12">
        <f>V234/1000</f>
        <v>5.8819652266666651</v>
      </c>
    </row>
    <row r="235" spans="1:23" x14ac:dyDescent="0.25">
      <c r="A235" s="7">
        <v>234</v>
      </c>
      <c r="B235" s="8" t="s">
        <v>317</v>
      </c>
      <c r="C235" s="8" t="s">
        <v>329</v>
      </c>
      <c r="D235" s="7" t="s">
        <v>319</v>
      </c>
      <c r="E235" s="8" t="s">
        <v>25</v>
      </c>
      <c r="F235" s="7">
        <v>-1700</v>
      </c>
      <c r="G235" s="7">
        <v>-1400</v>
      </c>
      <c r="H235" s="7">
        <f>(F235+G235)/2</f>
        <v>-1550</v>
      </c>
      <c r="I235" s="9">
        <v>6</v>
      </c>
      <c r="J235" s="10" t="s">
        <v>34</v>
      </c>
      <c r="K235" s="8" t="s">
        <v>27</v>
      </c>
      <c r="L235" s="8" t="s">
        <v>28</v>
      </c>
      <c r="M235" s="8"/>
      <c r="N235" s="8"/>
      <c r="O235" s="8" t="s">
        <v>44</v>
      </c>
      <c r="P235" s="11">
        <v>4.3</v>
      </c>
      <c r="Q235" s="11">
        <v>5.8</v>
      </c>
      <c r="R235" s="11">
        <v>6.7</v>
      </c>
      <c r="S235" s="11">
        <f>P235*4</f>
        <v>17.2</v>
      </c>
      <c r="T235" s="11">
        <f>Q235*4</f>
        <v>23.2</v>
      </c>
      <c r="U235" s="11">
        <f>R235*4</f>
        <v>26.8</v>
      </c>
      <c r="V235" s="12">
        <f>(4/3)*3.14*(U235/2)^3</f>
        <v>10073.555413333333</v>
      </c>
      <c r="W235" s="12">
        <f>V235/1000</f>
        <v>10.073555413333333</v>
      </c>
    </row>
    <row r="236" spans="1:23" x14ac:dyDescent="0.25">
      <c r="A236" s="7">
        <v>235</v>
      </c>
      <c r="B236" s="8" t="s">
        <v>317</v>
      </c>
      <c r="C236" s="8" t="s">
        <v>330</v>
      </c>
      <c r="D236" s="7" t="s">
        <v>319</v>
      </c>
      <c r="E236" s="8" t="s">
        <v>25</v>
      </c>
      <c r="F236" s="7">
        <v>-1700</v>
      </c>
      <c r="G236" s="7">
        <v>-1400</v>
      </c>
      <c r="H236" s="7">
        <f>(F236+G236)/2</f>
        <v>-1550</v>
      </c>
      <c r="I236" s="9">
        <v>5</v>
      </c>
      <c r="J236" s="10" t="s">
        <v>32</v>
      </c>
      <c r="K236" s="8" t="s">
        <v>68</v>
      </c>
      <c r="L236" s="8" t="s">
        <v>28</v>
      </c>
      <c r="M236" s="8"/>
      <c r="N236" s="8"/>
      <c r="O236" s="8" t="s">
        <v>44</v>
      </c>
      <c r="P236" s="11">
        <v>10.1</v>
      </c>
      <c r="Q236" s="11">
        <v>6.5</v>
      </c>
      <c r="R236" s="11">
        <v>10.3</v>
      </c>
      <c r="S236" s="11">
        <f>P236*4</f>
        <v>40.4</v>
      </c>
      <c r="T236" s="11">
        <f>Q236*4</f>
        <v>26</v>
      </c>
      <c r="U236" s="11">
        <f>R236*4</f>
        <v>41.2</v>
      </c>
      <c r="V236" s="12">
        <f>(4/3)*3.14*(U236/2)^3</f>
        <v>36599.069653333339</v>
      </c>
      <c r="W236" s="12">
        <f>V236/1000</f>
        <v>36.599069653333338</v>
      </c>
    </row>
    <row r="237" spans="1:23" x14ac:dyDescent="0.25">
      <c r="A237" s="7">
        <v>236</v>
      </c>
      <c r="B237" s="8" t="s">
        <v>317</v>
      </c>
      <c r="C237" s="8" t="s">
        <v>331</v>
      </c>
      <c r="D237" s="7" t="s">
        <v>319</v>
      </c>
      <c r="E237" s="8" t="s">
        <v>25</v>
      </c>
      <c r="F237" s="7">
        <v>-1700</v>
      </c>
      <c r="G237" s="7">
        <v>-1400</v>
      </c>
      <c r="H237" s="7">
        <f>(F237+G237)/2</f>
        <v>-1550</v>
      </c>
      <c r="I237" s="9">
        <v>5</v>
      </c>
      <c r="J237" s="10" t="s">
        <v>81</v>
      </c>
      <c r="K237" s="8" t="s">
        <v>27</v>
      </c>
      <c r="L237" s="8" t="s">
        <v>28</v>
      </c>
      <c r="M237" s="8"/>
      <c r="N237" s="8"/>
      <c r="O237" s="8" t="s">
        <v>44</v>
      </c>
      <c r="P237" s="11">
        <v>11.1</v>
      </c>
      <c r="Q237" s="11">
        <v>8</v>
      </c>
      <c r="R237" s="11">
        <v>11.9</v>
      </c>
      <c r="S237" s="11">
        <f>P237*4</f>
        <v>44.4</v>
      </c>
      <c r="T237" s="11">
        <f>Q237*4</f>
        <v>32</v>
      </c>
      <c r="U237" s="11">
        <f>R237*4</f>
        <v>47.6</v>
      </c>
      <c r="V237" s="12">
        <f>(4/3)*3.14*(U237/2)^3</f>
        <v>56441.592106666671</v>
      </c>
      <c r="W237" s="12">
        <f>V237/1000</f>
        <v>56.441592106666668</v>
      </c>
    </row>
    <row r="238" spans="1:23" x14ac:dyDescent="0.25">
      <c r="A238" s="7">
        <v>237</v>
      </c>
      <c r="B238" s="8" t="s">
        <v>317</v>
      </c>
      <c r="C238" s="8" t="s">
        <v>332</v>
      </c>
      <c r="D238" s="7" t="s">
        <v>319</v>
      </c>
      <c r="E238" s="8" t="s">
        <v>25</v>
      </c>
      <c r="F238" s="7">
        <v>-1700</v>
      </c>
      <c r="G238" s="7">
        <v>-1400</v>
      </c>
      <c r="H238" s="7">
        <f>(F238+G238)/2</f>
        <v>-1550</v>
      </c>
      <c r="I238" s="9">
        <v>5</v>
      </c>
      <c r="J238" s="10" t="s">
        <v>32</v>
      </c>
      <c r="K238" s="8" t="s">
        <v>157</v>
      </c>
      <c r="L238" s="8" t="s">
        <v>38</v>
      </c>
      <c r="M238" s="8"/>
      <c r="N238" s="8"/>
      <c r="O238" s="8" t="s">
        <v>44</v>
      </c>
      <c r="P238" s="11">
        <v>10</v>
      </c>
      <c r="Q238" s="11">
        <v>7.1</v>
      </c>
      <c r="R238" s="11">
        <v>10.7</v>
      </c>
      <c r="S238" s="11">
        <f>P238*4</f>
        <v>40</v>
      </c>
      <c r="T238" s="11">
        <f>Q238*4</f>
        <v>28.4</v>
      </c>
      <c r="U238" s="11">
        <f>R238*4</f>
        <v>42.8</v>
      </c>
      <c r="V238" s="12">
        <f>(4/3)*3.14*(U238/2)^3</f>
        <v>41030.773546666656</v>
      </c>
      <c r="W238" s="12">
        <f>V238/1000</f>
        <v>41.030773546666659</v>
      </c>
    </row>
    <row r="239" spans="1:23" x14ac:dyDescent="0.25">
      <c r="A239" s="7">
        <v>238</v>
      </c>
      <c r="B239" s="8" t="s">
        <v>317</v>
      </c>
      <c r="C239" s="8" t="s">
        <v>333</v>
      </c>
      <c r="D239" s="7" t="s">
        <v>319</v>
      </c>
      <c r="E239" s="8" t="s">
        <v>25</v>
      </c>
      <c r="F239" s="7">
        <v>-1700</v>
      </c>
      <c r="G239" s="7">
        <v>-1400</v>
      </c>
      <c r="H239" s="7">
        <f>(F239+G239)/2</f>
        <v>-1550</v>
      </c>
      <c r="I239" s="9">
        <v>5</v>
      </c>
      <c r="J239" s="10" t="s">
        <v>34</v>
      </c>
      <c r="K239" s="8" t="s">
        <v>157</v>
      </c>
      <c r="L239" s="8" t="s">
        <v>38</v>
      </c>
      <c r="M239" s="8"/>
      <c r="N239" s="8"/>
      <c r="O239" s="8" t="s">
        <v>44</v>
      </c>
      <c r="P239" s="11">
        <v>7</v>
      </c>
      <c r="Q239" s="11">
        <v>6.5</v>
      </c>
      <c r="R239" s="11">
        <v>8.4</v>
      </c>
      <c r="S239" s="11">
        <f>P239*4</f>
        <v>28</v>
      </c>
      <c r="T239" s="11">
        <f>Q239*4</f>
        <v>26</v>
      </c>
      <c r="U239" s="11">
        <f>R239*4</f>
        <v>33.6</v>
      </c>
      <c r="V239" s="12">
        <f>(4/3)*3.14*(U239/2)^3</f>
        <v>19851.63264</v>
      </c>
      <c r="W239" s="12">
        <f>V239/1000</f>
        <v>19.851632639999998</v>
      </c>
    </row>
    <row r="240" spans="1:23" x14ac:dyDescent="0.25">
      <c r="A240" s="7">
        <v>239</v>
      </c>
      <c r="B240" s="8" t="s">
        <v>317</v>
      </c>
      <c r="C240" s="8" t="s">
        <v>334</v>
      </c>
      <c r="D240" s="7" t="s">
        <v>319</v>
      </c>
      <c r="E240" s="8" t="s">
        <v>25</v>
      </c>
      <c r="F240" s="7">
        <v>-1700</v>
      </c>
      <c r="G240" s="7">
        <v>-1400</v>
      </c>
      <c r="H240" s="7">
        <f>(F240+G240)/2</f>
        <v>-1550</v>
      </c>
      <c r="I240" s="9">
        <v>5</v>
      </c>
      <c r="J240" s="10" t="s">
        <v>81</v>
      </c>
      <c r="K240" s="8" t="s">
        <v>27</v>
      </c>
      <c r="L240" s="8" t="s">
        <v>28</v>
      </c>
      <c r="M240" s="8"/>
      <c r="N240" s="8"/>
      <c r="O240" s="8" t="s">
        <v>44</v>
      </c>
      <c r="P240" s="11">
        <v>10</v>
      </c>
      <c r="Q240" s="11">
        <v>8.5</v>
      </c>
      <c r="R240" s="11">
        <v>11.5</v>
      </c>
      <c r="S240" s="11">
        <f>P240*4</f>
        <v>40</v>
      </c>
      <c r="T240" s="11">
        <f>Q240*4</f>
        <v>34</v>
      </c>
      <c r="U240" s="11">
        <f>R240*4</f>
        <v>46</v>
      </c>
      <c r="V240" s="12">
        <f>(4/3)*3.14*(U240/2)^3</f>
        <v>50939.173333333332</v>
      </c>
      <c r="W240" s="12">
        <f>V240/1000</f>
        <v>50.939173333333329</v>
      </c>
    </row>
    <row r="241" spans="1:23" x14ac:dyDescent="0.25">
      <c r="A241" s="7">
        <v>240</v>
      </c>
      <c r="B241" s="8" t="s">
        <v>317</v>
      </c>
      <c r="C241" s="8" t="s">
        <v>335</v>
      </c>
      <c r="D241" s="7" t="s">
        <v>319</v>
      </c>
      <c r="E241" s="8" t="s">
        <v>25</v>
      </c>
      <c r="F241" s="7">
        <v>-1700</v>
      </c>
      <c r="G241" s="7">
        <v>-1400</v>
      </c>
      <c r="H241" s="7">
        <f>(F241+G241)/2</f>
        <v>-1550</v>
      </c>
      <c r="I241" s="9">
        <v>5</v>
      </c>
      <c r="J241" s="10" t="s">
        <v>81</v>
      </c>
      <c r="K241" s="8" t="s">
        <v>27</v>
      </c>
      <c r="L241" s="8" t="s">
        <v>28</v>
      </c>
      <c r="M241" s="8"/>
      <c r="N241" s="8"/>
      <c r="O241" s="8" t="s">
        <v>44</v>
      </c>
      <c r="P241" s="11">
        <v>10</v>
      </c>
      <c r="Q241" s="11">
        <v>8.6999999999999993</v>
      </c>
      <c r="R241" s="11">
        <v>11.6</v>
      </c>
      <c r="S241" s="11">
        <f>P241*4</f>
        <v>40</v>
      </c>
      <c r="T241" s="11">
        <f>Q241*4</f>
        <v>34.799999999999997</v>
      </c>
      <c r="U241" s="11">
        <f>R241*4</f>
        <v>46.4</v>
      </c>
      <c r="V241" s="12">
        <f>(4/3)*3.14*(U241/2)^3</f>
        <v>52279.610026666662</v>
      </c>
      <c r="W241" s="12">
        <f>V241/1000</f>
        <v>52.27961002666666</v>
      </c>
    </row>
    <row r="242" spans="1:23" x14ac:dyDescent="0.25">
      <c r="A242" s="7">
        <v>241</v>
      </c>
      <c r="B242" s="8" t="s">
        <v>317</v>
      </c>
      <c r="C242" s="8" t="s">
        <v>336</v>
      </c>
      <c r="D242" s="7" t="s">
        <v>319</v>
      </c>
      <c r="E242" s="8" t="s">
        <v>25</v>
      </c>
      <c r="F242" s="7">
        <v>-1700</v>
      </c>
      <c r="G242" s="7">
        <v>-1400</v>
      </c>
      <c r="H242" s="7">
        <f>(F242+G242)/2</f>
        <v>-1550</v>
      </c>
      <c r="I242" s="9">
        <v>5</v>
      </c>
      <c r="J242" s="10" t="s">
        <v>81</v>
      </c>
      <c r="K242" s="8" t="s">
        <v>157</v>
      </c>
      <c r="L242" s="8" t="s">
        <v>38</v>
      </c>
      <c r="M242" s="8"/>
      <c r="N242" s="8"/>
      <c r="O242" s="8" t="s">
        <v>44</v>
      </c>
      <c r="P242" s="11">
        <v>10</v>
      </c>
      <c r="Q242" s="11">
        <v>11.3</v>
      </c>
      <c r="R242" s="11">
        <v>13.5</v>
      </c>
      <c r="S242" s="11">
        <f>P242*4</f>
        <v>40</v>
      </c>
      <c r="T242" s="11">
        <f>Q242*4</f>
        <v>45.2</v>
      </c>
      <c r="U242" s="11">
        <f>R242*4</f>
        <v>54</v>
      </c>
      <c r="V242" s="12">
        <f>(4/3)*3.14*(U242/2)^3</f>
        <v>82406.16</v>
      </c>
      <c r="W242" s="12">
        <f>V242/1000</f>
        <v>82.40616</v>
      </c>
    </row>
    <row r="243" spans="1:23" x14ac:dyDescent="0.25">
      <c r="A243" s="7">
        <v>242</v>
      </c>
      <c r="B243" s="8" t="s">
        <v>317</v>
      </c>
      <c r="C243" s="8" t="s">
        <v>337</v>
      </c>
      <c r="D243" s="7" t="s">
        <v>319</v>
      </c>
      <c r="E243" s="8" t="s">
        <v>25</v>
      </c>
      <c r="F243" s="7">
        <v>-1700</v>
      </c>
      <c r="G243" s="7">
        <v>-1400</v>
      </c>
      <c r="H243" s="7">
        <f>(F243+G243)/2</f>
        <v>-1550</v>
      </c>
      <c r="I243" s="9">
        <v>5</v>
      </c>
      <c r="J243" s="10" t="s">
        <v>32</v>
      </c>
      <c r="K243" s="8" t="s">
        <v>27</v>
      </c>
      <c r="L243" s="8" t="s">
        <v>28</v>
      </c>
      <c r="M243" s="8"/>
      <c r="N243" s="8"/>
      <c r="O243" s="8" t="s">
        <v>44</v>
      </c>
      <c r="P243" s="11">
        <v>8.5</v>
      </c>
      <c r="Q243" s="11">
        <v>8.9</v>
      </c>
      <c r="R243" s="11">
        <v>11</v>
      </c>
      <c r="S243" s="11">
        <f>P243*4</f>
        <v>34</v>
      </c>
      <c r="T243" s="11">
        <f>Q243*4</f>
        <v>35.6</v>
      </c>
      <c r="U243" s="11">
        <f>R243*4</f>
        <v>44</v>
      </c>
      <c r="V243" s="12">
        <f>(4/3)*3.14*(U243/2)^3</f>
        <v>44579.626666666663</v>
      </c>
      <c r="W243" s="12">
        <f>V243/1000</f>
        <v>44.579626666666663</v>
      </c>
    </row>
    <row r="244" spans="1:23" x14ac:dyDescent="0.25">
      <c r="A244" s="7">
        <v>243</v>
      </c>
      <c r="B244" s="8" t="s">
        <v>317</v>
      </c>
      <c r="C244" s="8" t="s">
        <v>338</v>
      </c>
      <c r="D244" s="7" t="s">
        <v>319</v>
      </c>
      <c r="E244" s="8" t="s">
        <v>25</v>
      </c>
      <c r="F244" s="7">
        <v>-1700</v>
      </c>
      <c r="G244" s="7">
        <v>-1400</v>
      </c>
      <c r="H244" s="7">
        <f>(F244+G244)/2</f>
        <v>-1550</v>
      </c>
      <c r="I244" s="9">
        <v>5</v>
      </c>
      <c r="J244" s="10" t="s">
        <v>34</v>
      </c>
      <c r="K244" s="8" t="s">
        <v>157</v>
      </c>
      <c r="L244" s="8" t="s">
        <v>38</v>
      </c>
      <c r="M244" s="8"/>
      <c r="N244" s="8"/>
      <c r="O244" s="8" t="s">
        <v>44</v>
      </c>
      <c r="P244" s="11">
        <v>6.7</v>
      </c>
      <c r="Q244" s="11">
        <v>5.7</v>
      </c>
      <c r="R244" s="11">
        <v>7.7</v>
      </c>
      <c r="S244" s="11">
        <f>P244*4</f>
        <v>26.8</v>
      </c>
      <c r="T244" s="11">
        <f>Q244*4</f>
        <v>22.8</v>
      </c>
      <c r="U244" s="11">
        <f>R244*4</f>
        <v>30.8</v>
      </c>
      <c r="V244" s="12">
        <f>(4/3)*3.14*(U244/2)^3</f>
        <v>15290.811946666669</v>
      </c>
      <c r="W244" s="12">
        <f>V244/1000</f>
        <v>15.290811946666668</v>
      </c>
    </row>
    <row r="245" spans="1:23" x14ac:dyDescent="0.25">
      <c r="A245" s="7">
        <v>244</v>
      </c>
      <c r="B245" s="8" t="s">
        <v>317</v>
      </c>
      <c r="C245" s="8" t="s">
        <v>339</v>
      </c>
      <c r="D245" s="7" t="s">
        <v>319</v>
      </c>
      <c r="E245" s="8" t="s">
        <v>25</v>
      </c>
      <c r="F245" s="7">
        <v>-1700</v>
      </c>
      <c r="G245" s="7">
        <v>-1400</v>
      </c>
      <c r="H245" s="7">
        <f>(F245+G245)/2</f>
        <v>-1550</v>
      </c>
      <c r="I245" s="9">
        <v>5</v>
      </c>
      <c r="J245" s="10" t="s">
        <v>34</v>
      </c>
      <c r="K245" s="8" t="s">
        <v>157</v>
      </c>
      <c r="L245" s="8" t="s">
        <v>38</v>
      </c>
      <c r="M245" s="8"/>
      <c r="N245" s="8"/>
      <c r="O245" s="8" t="s">
        <v>44</v>
      </c>
      <c r="P245" s="11">
        <v>6.2</v>
      </c>
      <c r="Q245" s="11">
        <v>5.5</v>
      </c>
      <c r="R245" s="11">
        <v>7.3</v>
      </c>
      <c r="S245" s="11">
        <f>P245*4</f>
        <v>24.8</v>
      </c>
      <c r="T245" s="11">
        <f>Q245*4</f>
        <v>22</v>
      </c>
      <c r="U245" s="11">
        <f>R245*4</f>
        <v>29.2</v>
      </c>
      <c r="V245" s="12">
        <f>(4/3)*3.14*(U245/2)^3</f>
        <v>13029.476053333332</v>
      </c>
      <c r="W245" s="12">
        <f>V245/1000</f>
        <v>13.029476053333331</v>
      </c>
    </row>
    <row r="246" spans="1:23" x14ac:dyDescent="0.25">
      <c r="A246" s="7">
        <v>245</v>
      </c>
      <c r="B246" s="8" t="s">
        <v>317</v>
      </c>
      <c r="C246" s="8" t="s">
        <v>340</v>
      </c>
      <c r="D246" s="7" t="s">
        <v>319</v>
      </c>
      <c r="E246" s="8" t="s">
        <v>25</v>
      </c>
      <c r="F246" s="7">
        <v>-1700</v>
      </c>
      <c r="G246" s="7">
        <v>-1400</v>
      </c>
      <c r="H246" s="7">
        <f>(F246+G246)/2</f>
        <v>-1550</v>
      </c>
      <c r="I246" s="9">
        <v>5</v>
      </c>
      <c r="J246" s="10" t="s">
        <v>34</v>
      </c>
      <c r="K246" s="8" t="s">
        <v>157</v>
      </c>
      <c r="L246" s="8" t="s">
        <v>38</v>
      </c>
      <c r="M246" s="8"/>
      <c r="N246" s="8"/>
      <c r="O246" s="8" t="s">
        <v>44</v>
      </c>
      <c r="P246" s="11">
        <v>7.5</v>
      </c>
      <c r="Q246" s="11">
        <v>6.4</v>
      </c>
      <c r="R246" s="11">
        <v>8.6</v>
      </c>
      <c r="S246" s="11">
        <f>P246*4</f>
        <v>30</v>
      </c>
      <c r="T246" s="11">
        <f>Q246*4</f>
        <v>25.6</v>
      </c>
      <c r="U246" s="11">
        <f>R246*4</f>
        <v>34.4</v>
      </c>
      <c r="V246" s="12">
        <f>(4/3)*3.14*(U246/2)^3</f>
        <v>21303.635626666663</v>
      </c>
      <c r="W246" s="12">
        <f>V246/1000</f>
        <v>21.303635626666662</v>
      </c>
    </row>
    <row r="247" spans="1:23" x14ac:dyDescent="0.25">
      <c r="A247" s="7">
        <v>246</v>
      </c>
      <c r="B247" s="8" t="s">
        <v>317</v>
      </c>
      <c r="C247" s="8" t="s">
        <v>341</v>
      </c>
      <c r="D247" s="7" t="s">
        <v>319</v>
      </c>
      <c r="E247" s="8" t="s">
        <v>25</v>
      </c>
      <c r="F247" s="7">
        <v>-1700</v>
      </c>
      <c r="G247" s="7">
        <v>-1400</v>
      </c>
      <c r="H247" s="7">
        <f>(F247+G247)/2</f>
        <v>-1550</v>
      </c>
      <c r="I247" s="9">
        <v>5</v>
      </c>
      <c r="J247" s="10" t="s">
        <v>32</v>
      </c>
      <c r="K247" s="8" t="s">
        <v>157</v>
      </c>
      <c r="L247" s="8" t="s">
        <v>38</v>
      </c>
      <c r="M247" s="8"/>
      <c r="N247" s="8"/>
      <c r="O247" s="8" t="s">
        <v>44</v>
      </c>
      <c r="P247" s="11">
        <v>8</v>
      </c>
      <c r="Q247" s="11">
        <v>7.5</v>
      </c>
      <c r="R247" s="11">
        <v>9.6</v>
      </c>
      <c r="S247" s="11">
        <f>P247*4</f>
        <v>32</v>
      </c>
      <c r="T247" s="11">
        <f>Q247*4</f>
        <v>30</v>
      </c>
      <c r="U247" s="11">
        <f>R247*4</f>
        <v>38.4</v>
      </c>
      <c r="V247" s="12">
        <f>(4/3)*3.14*(U247/2)^3</f>
        <v>29632.75776</v>
      </c>
      <c r="W247" s="12">
        <f>V247/1000</f>
        <v>29.632757760000001</v>
      </c>
    </row>
    <row r="248" spans="1:23" x14ac:dyDescent="0.25">
      <c r="A248" s="7">
        <v>247</v>
      </c>
      <c r="B248" s="8" t="s">
        <v>317</v>
      </c>
      <c r="C248" s="8" t="s">
        <v>342</v>
      </c>
      <c r="D248" s="7" t="s">
        <v>319</v>
      </c>
      <c r="E248" s="8" t="s">
        <v>25</v>
      </c>
      <c r="F248" s="7">
        <v>-1700</v>
      </c>
      <c r="G248" s="7">
        <v>-1400</v>
      </c>
      <c r="H248" s="7">
        <f>(F248+G248)/2</f>
        <v>-1550</v>
      </c>
      <c r="I248" s="9">
        <v>5</v>
      </c>
      <c r="J248" s="10" t="s">
        <v>26</v>
      </c>
      <c r="K248" s="8" t="s">
        <v>157</v>
      </c>
      <c r="L248" s="8" t="s">
        <v>38</v>
      </c>
      <c r="M248" s="8"/>
      <c r="N248" s="8"/>
      <c r="O248" s="8" t="s">
        <v>44</v>
      </c>
      <c r="P248" s="11">
        <v>4.2</v>
      </c>
      <c r="Q248" s="11">
        <v>3.9</v>
      </c>
      <c r="R248" s="11">
        <v>5</v>
      </c>
      <c r="S248" s="11">
        <f>P248*4</f>
        <v>16.8</v>
      </c>
      <c r="T248" s="11">
        <f>Q248*4</f>
        <v>15.6</v>
      </c>
      <c r="U248" s="11">
        <f>R248*4</f>
        <v>20</v>
      </c>
      <c r="V248" s="12">
        <f>(4/3)*3.14*(U248/2)^3</f>
        <v>4186.666666666667</v>
      </c>
      <c r="W248" s="12">
        <f>V248/1000</f>
        <v>4.1866666666666665</v>
      </c>
    </row>
    <row r="249" spans="1:23" x14ac:dyDescent="0.25">
      <c r="A249" s="7">
        <v>248</v>
      </c>
      <c r="B249" s="8" t="s">
        <v>317</v>
      </c>
      <c r="C249" s="8" t="s">
        <v>343</v>
      </c>
      <c r="D249" s="7" t="s">
        <v>319</v>
      </c>
      <c r="E249" s="8" t="s">
        <v>25</v>
      </c>
      <c r="F249" s="7">
        <v>-1700</v>
      </c>
      <c r="G249" s="7">
        <v>-1400</v>
      </c>
      <c r="H249" s="7">
        <f>(F249+G249)/2</f>
        <v>-1550</v>
      </c>
      <c r="I249" s="9">
        <v>5</v>
      </c>
      <c r="J249" s="10" t="s">
        <v>34</v>
      </c>
      <c r="K249" s="8" t="s">
        <v>27</v>
      </c>
      <c r="L249" s="8" t="s">
        <v>28</v>
      </c>
      <c r="M249" s="8"/>
      <c r="N249" s="8"/>
      <c r="O249" s="8" t="s">
        <v>44</v>
      </c>
      <c r="P249" s="11">
        <v>6.1</v>
      </c>
      <c r="Q249" s="11">
        <v>5.0999999999999996</v>
      </c>
      <c r="R249" s="11">
        <v>7</v>
      </c>
      <c r="S249" s="11">
        <f>P249*4</f>
        <v>24.4</v>
      </c>
      <c r="T249" s="11">
        <f>Q249*4</f>
        <v>20.399999999999999</v>
      </c>
      <c r="U249" s="11">
        <f>R249*4</f>
        <v>28</v>
      </c>
      <c r="V249" s="12">
        <f>(4/3)*3.14*(U249/2)^3</f>
        <v>11488.213333333333</v>
      </c>
      <c r="W249" s="12">
        <f>V249/1000</f>
        <v>11.488213333333332</v>
      </c>
    </row>
    <row r="250" spans="1:23" x14ac:dyDescent="0.25">
      <c r="A250" s="7">
        <v>249</v>
      </c>
      <c r="B250" s="8" t="s">
        <v>317</v>
      </c>
      <c r="C250" s="8" t="s">
        <v>344</v>
      </c>
      <c r="D250" s="7" t="s">
        <v>319</v>
      </c>
      <c r="E250" s="8" t="s">
        <v>25</v>
      </c>
      <c r="F250" s="7">
        <v>-1700</v>
      </c>
      <c r="G250" s="7">
        <v>-1400</v>
      </c>
      <c r="H250" s="7">
        <f>(F250+G250)/2</f>
        <v>-1550</v>
      </c>
      <c r="I250" s="9">
        <v>5</v>
      </c>
      <c r="J250" s="10" t="s">
        <v>81</v>
      </c>
      <c r="K250" s="8" t="s">
        <v>263</v>
      </c>
      <c r="L250" s="8" t="s">
        <v>28</v>
      </c>
      <c r="M250" s="8"/>
      <c r="N250" s="8"/>
      <c r="O250" s="8" t="s">
        <v>44</v>
      </c>
      <c r="P250" s="11">
        <v>10.6</v>
      </c>
      <c r="Q250" s="11">
        <v>8.6</v>
      </c>
      <c r="R250" s="11">
        <v>11.8</v>
      </c>
      <c r="S250" s="11">
        <f>P250*4</f>
        <v>42.4</v>
      </c>
      <c r="T250" s="11">
        <f>Q250*4</f>
        <v>34.4</v>
      </c>
      <c r="U250" s="11">
        <f>R250*4</f>
        <v>47.2</v>
      </c>
      <c r="V250" s="12">
        <f>(4/3)*3.14*(U250/2)^3</f>
        <v>55030.618453333336</v>
      </c>
      <c r="W250" s="12">
        <f>V250/1000</f>
        <v>55.030618453333339</v>
      </c>
    </row>
    <row r="251" spans="1:23" x14ac:dyDescent="0.25">
      <c r="A251" s="7">
        <v>250</v>
      </c>
      <c r="B251" s="8" t="s">
        <v>317</v>
      </c>
      <c r="C251" s="8" t="s">
        <v>345</v>
      </c>
      <c r="D251" s="7" t="s">
        <v>319</v>
      </c>
      <c r="E251" s="8" t="s">
        <v>25</v>
      </c>
      <c r="F251" s="7">
        <v>-1700</v>
      </c>
      <c r="G251" s="7">
        <v>-1400</v>
      </c>
      <c r="H251" s="7">
        <f>(F251+G251)/2</f>
        <v>-1550</v>
      </c>
      <c r="I251" s="9">
        <v>5</v>
      </c>
      <c r="J251" s="10" t="s">
        <v>81</v>
      </c>
      <c r="K251" s="8" t="s">
        <v>27</v>
      </c>
      <c r="L251" s="8" t="s">
        <v>28</v>
      </c>
      <c r="M251" s="8"/>
      <c r="N251" s="8"/>
      <c r="O251" s="8" t="s">
        <v>44</v>
      </c>
      <c r="P251" s="11">
        <v>10</v>
      </c>
      <c r="Q251" s="11">
        <v>11.9</v>
      </c>
      <c r="R251" s="11">
        <v>14</v>
      </c>
      <c r="S251" s="11">
        <f>P251*4</f>
        <v>40</v>
      </c>
      <c r="T251" s="11">
        <f>Q251*4</f>
        <v>47.6</v>
      </c>
      <c r="U251" s="11">
        <f>R251*4</f>
        <v>56</v>
      </c>
      <c r="V251" s="12">
        <f>(4/3)*3.14*(U251/2)^3</f>
        <v>91905.706666666665</v>
      </c>
      <c r="W251" s="12">
        <f>V251/1000</f>
        <v>91.90570666666666</v>
      </c>
    </row>
    <row r="252" spans="1:23" x14ac:dyDescent="0.25">
      <c r="A252" s="7">
        <v>251</v>
      </c>
      <c r="B252" s="8" t="s">
        <v>317</v>
      </c>
      <c r="C252" s="8" t="s">
        <v>346</v>
      </c>
      <c r="D252" s="7" t="s">
        <v>319</v>
      </c>
      <c r="E252" s="8" t="s">
        <v>25</v>
      </c>
      <c r="F252" s="7">
        <v>-1700</v>
      </c>
      <c r="G252" s="7">
        <v>-1400</v>
      </c>
      <c r="H252" s="7">
        <f>(F252+G252)/2</f>
        <v>-1550</v>
      </c>
      <c r="I252" s="9">
        <v>5</v>
      </c>
      <c r="J252" s="10" t="s">
        <v>34</v>
      </c>
      <c r="K252" s="8" t="s">
        <v>157</v>
      </c>
      <c r="L252" s="8" t="s">
        <v>38</v>
      </c>
      <c r="M252" s="8"/>
      <c r="N252" s="8"/>
      <c r="O252" s="8" t="s">
        <v>44</v>
      </c>
      <c r="P252" s="11">
        <v>6.4</v>
      </c>
      <c r="Q252" s="11">
        <v>5.2</v>
      </c>
      <c r="R252" s="11">
        <v>7.1</v>
      </c>
      <c r="S252" s="11">
        <f>P252*4</f>
        <v>25.6</v>
      </c>
      <c r="T252" s="11">
        <f>Q252*4</f>
        <v>20.8</v>
      </c>
      <c r="U252" s="11">
        <f>R252*4</f>
        <v>28.4</v>
      </c>
      <c r="V252" s="12">
        <f>(4/3)*3.14*(U252/2)^3</f>
        <v>11987.632426666665</v>
      </c>
      <c r="W252" s="12">
        <f>V252/1000</f>
        <v>11.987632426666666</v>
      </c>
    </row>
    <row r="253" spans="1:23" x14ac:dyDescent="0.25">
      <c r="A253" s="7">
        <v>252</v>
      </c>
      <c r="B253" s="8" t="s">
        <v>317</v>
      </c>
      <c r="C253" s="8" t="s">
        <v>347</v>
      </c>
      <c r="D253" s="7" t="s">
        <v>319</v>
      </c>
      <c r="E253" s="8" t="s">
        <v>25</v>
      </c>
      <c r="F253" s="7">
        <v>-1700</v>
      </c>
      <c r="G253" s="7">
        <v>-1400</v>
      </c>
      <c r="H253" s="7">
        <f>(F253+G253)/2</f>
        <v>-1550</v>
      </c>
      <c r="I253" s="9">
        <v>5</v>
      </c>
      <c r="J253" s="10" t="s">
        <v>34</v>
      </c>
      <c r="K253" s="8" t="s">
        <v>27</v>
      </c>
      <c r="L253" s="8" t="s">
        <v>28</v>
      </c>
      <c r="M253" s="8"/>
      <c r="N253" s="8"/>
      <c r="O253" s="8" t="s">
        <v>44</v>
      </c>
      <c r="P253" s="11">
        <v>5.3</v>
      </c>
      <c r="Q253" s="11">
        <v>5.6</v>
      </c>
      <c r="R253" s="11">
        <v>6.8</v>
      </c>
      <c r="S253" s="11">
        <f>P253*4</f>
        <v>21.2</v>
      </c>
      <c r="T253" s="11">
        <f>Q253*4</f>
        <v>22.4</v>
      </c>
      <c r="U253" s="11">
        <f>R253*4</f>
        <v>27.2</v>
      </c>
      <c r="V253" s="12">
        <f>(4/3)*3.14*(U253/2)^3</f>
        <v>10531.375786666666</v>
      </c>
      <c r="W253" s="12">
        <f>V253/1000</f>
        <v>10.531375786666665</v>
      </c>
    </row>
    <row r="254" spans="1:23" x14ac:dyDescent="0.25">
      <c r="A254" s="7">
        <v>253</v>
      </c>
      <c r="B254" s="8" t="s">
        <v>317</v>
      </c>
      <c r="C254" s="8" t="s">
        <v>348</v>
      </c>
      <c r="D254" s="7" t="s">
        <v>319</v>
      </c>
      <c r="E254" s="8" t="s">
        <v>25</v>
      </c>
      <c r="F254" s="7">
        <v>-1700</v>
      </c>
      <c r="G254" s="7">
        <v>-1400</v>
      </c>
      <c r="H254" s="7">
        <f>(F254+G254)/2</f>
        <v>-1550</v>
      </c>
      <c r="I254" s="9">
        <v>5</v>
      </c>
      <c r="J254" s="10" t="s">
        <v>32</v>
      </c>
      <c r="K254" s="8" t="s">
        <v>27</v>
      </c>
      <c r="L254" s="8" t="s">
        <v>28</v>
      </c>
      <c r="M254" s="8"/>
      <c r="N254" s="8"/>
      <c r="O254" s="8" t="s">
        <v>44</v>
      </c>
      <c r="P254" s="11">
        <v>8.1</v>
      </c>
      <c r="Q254" s="11">
        <v>7.3</v>
      </c>
      <c r="R254" s="11">
        <v>9.5</v>
      </c>
      <c r="S254" s="11">
        <f>P254*4</f>
        <v>32.4</v>
      </c>
      <c r="T254" s="11">
        <f>Q254*4</f>
        <v>29.2</v>
      </c>
      <c r="U254" s="11">
        <f>R254*4</f>
        <v>38</v>
      </c>
      <c r="V254" s="12">
        <f>(4/3)*3.14*(U254/2)^3</f>
        <v>28716.346666666665</v>
      </c>
      <c r="W254" s="12">
        <f>V254/1000</f>
        <v>28.716346666666663</v>
      </c>
    </row>
    <row r="255" spans="1:23" x14ac:dyDescent="0.25">
      <c r="A255" s="7">
        <v>254</v>
      </c>
      <c r="B255" s="8" t="s">
        <v>317</v>
      </c>
      <c r="C255" s="8" t="s">
        <v>349</v>
      </c>
      <c r="D255" s="7" t="s">
        <v>319</v>
      </c>
      <c r="E255" s="8" t="s">
        <v>25</v>
      </c>
      <c r="F255" s="7">
        <v>-1700</v>
      </c>
      <c r="G255" s="7">
        <v>-1400</v>
      </c>
      <c r="H255" s="7">
        <f>(F255+G255)/2</f>
        <v>-1550</v>
      </c>
      <c r="I255" s="9">
        <v>5</v>
      </c>
      <c r="J255" s="10" t="s">
        <v>81</v>
      </c>
      <c r="K255" s="8" t="s">
        <v>27</v>
      </c>
      <c r="L255" s="8" t="s">
        <v>28</v>
      </c>
      <c r="M255" s="8"/>
      <c r="N255" s="8"/>
      <c r="O255" s="8" t="s">
        <v>44</v>
      </c>
      <c r="P255" s="11">
        <v>10.199999999999999</v>
      </c>
      <c r="Q255" s="11">
        <v>9.1999999999999993</v>
      </c>
      <c r="R255" s="11">
        <v>12.1</v>
      </c>
      <c r="S255" s="11">
        <f>P255*4</f>
        <v>40.799999999999997</v>
      </c>
      <c r="T255" s="11">
        <f>Q255*4</f>
        <v>36.799999999999997</v>
      </c>
      <c r="U255" s="11">
        <f>R255*4</f>
        <v>48.4</v>
      </c>
      <c r="V255" s="12">
        <f>(4/3)*3.14*(U255/2)^3</f>
        <v>59335.483093333329</v>
      </c>
      <c r="W255" s="12">
        <f>V255/1000</f>
        <v>59.33548309333333</v>
      </c>
    </row>
    <row r="256" spans="1:23" x14ac:dyDescent="0.25">
      <c r="A256" s="7">
        <v>255</v>
      </c>
      <c r="B256" s="8" t="s">
        <v>317</v>
      </c>
      <c r="C256" s="8" t="s">
        <v>350</v>
      </c>
      <c r="D256" s="7" t="s">
        <v>319</v>
      </c>
      <c r="E256" s="8" t="s">
        <v>25</v>
      </c>
      <c r="F256" s="7">
        <v>-1700</v>
      </c>
      <c r="G256" s="7">
        <v>-1400</v>
      </c>
      <c r="H256" s="7">
        <f>(F256+G256)/2</f>
        <v>-1550</v>
      </c>
      <c r="I256" s="9">
        <v>5</v>
      </c>
      <c r="J256" s="10" t="s">
        <v>32</v>
      </c>
      <c r="K256" s="8" t="s">
        <v>27</v>
      </c>
      <c r="L256" s="8" t="s">
        <v>28</v>
      </c>
      <c r="M256" s="8"/>
      <c r="N256" s="8"/>
      <c r="O256" s="8" t="s">
        <v>44</v>
      </c>
      <c r="P256" s="11">
        <v>10.1</v>
      </c>
      <c r="Q256" s="11">
        <v>7.9</v>
      </c>
      <c r="R256" s="11">
        <v>11.2</v>
      </c>
      <c r="S256" s="11">
        <f>P256*4</f>
        <v>40.4</v>
      </c>
      <c r="T256" s="11">
        <f>Q256*4</f>
        <v>31.6</v>
      </c>
      <c r="U256" s="11">
        <f>R256*4</f>
        <v>44.8</v>
      </c>
      <c r="V256" s="12">
        <f>(4/3)*3.14*(U256/2)^3</f>
        <v>47055.721813333323</v>
      </c>
      <c r="W256" s="12">
        <f>V256/1000</f>
        <v>47.055721813333321</v>
      </c>
    </row>
    <row r="257" spans="1:23" x14ac:dyDescent="0.25">
      <c r="A257" s="7">
        <v>256</v>
      </c>
      <c r="B257" s="8" t="s">
        <v>317</v>
      </c>
      <c r="C257" s="8" t="s">
        <v>351</v>
      </c>
      <c r="D257" s="7" t="s">
        <v>319</v>
      </c>
      <c r="E257" s="8" t="s">
        <v>25</v>
      </c>
      <c r="F257" s="7">
        <v>-1700</v>
      </c>
      <c r="G257" s="7">
        <v>-1400</v>
      </c>
      <c r="H257" s="7">
        <f>(F257+G257)/2</f>
        <v>-1550</v>
      </c>
      <c r="I257" s="9">
        <v>5</v>
      </c>
      <c r="J257" s="10" t="s">
        <v>81</v>
      </c>
      <c r="K257" s="8" t="s">
        <v>68</v>
      </c>
      <c r="L257" s="8" t="s">
        <v>28</v>
      </c>
      <c r="M257" s="8"/>
      <c r="N257" s="8"/>
      <c r="O257" s="8" t="s">
        <v>44</v>
      </c>
      <c r="P257" s="11">
        <v>10.199999999999999</v>
      </c>
      <c r="Q257" s="11">
        <v>9.6</v>
      </c>
      <c r="R257" s="11">
        <v>12.3</v>
      </c>
      <c r="S257" s="11">
        <f>P257*4</f>
        <v>40.799999999999997</v>
      </c>
      <c r="T257" s="11">
        <f>Q257*4</f>
        <v>38.4</v>
      </c>
      <c r="U257" s="11">
        <f>R257*4</f>
        <v>49.2</v>
      </c>
      <c r="V257" s="12">
        <f>(4/3)*3.14*(U257/2)^3</f>
        <v>62326.63872000001</v>
      </c>
      <c r="W257" s="12">
        <f>V257/1000</f>
        <v>62.326638720000012</v>
      </c>
    </row>
    <row r="258" spans="1:23" x14ac:dyDescent="0.25">
      <c r="A258" s="7">
        <v>257</v>
      </c>
      <c r="B258" s="8" t="s">
        <v>317</v>
      </c>
      <c r="C258" s="8" t="s">
        <v>352</v>
      </c>
      <c r="D258" s="7" t="s">
        <v>319</v>
      </c>
      <c r="E258" s="8" t="s">
        <v>25</v>
      </c>
      <c r="F258" s="7">
        <v>-1700</v>
      </c>
      <c r="G258" s="7">
        <v>-1400</v>
      </c>
      <c r="H258" s="7">
        <f>(F258+G258)/2</f>
        <v>-1550</v>
      </c>
      <c r="I258" s="9">
        <v>5</v>
      </c>
      <c r="J258" s="10" t="s">
        <v>81</v>
      </c>
      <c r="K258" s="8" t="s">
        <v>27</v>
      </c>
      <c r="L258" s="8" t="s">
        <v>28</v>
      </c>
      <c r="M258" s="8"/>
      <c r="N258" s="8"/>
      <c r="O258" s="8" t="s">
        <v>44</v>
      </c>
      <c r="P258" s="11">
        <v>9.1999999999999993</v>
      </c>
      <c r="Q258" s="11">
        <v>9.3000000000000007</v>
      </c>
      <c r="R258" s="11">
        <v>11.6</v>
      </c>
      <c r="S258" s="11">
        <f>P258*4</f>
        <v>36.799999999999997</v>
      </c>
      <c r="T258" s="11">
        <f>Q258*4</f>
        <v>37.200000000000003</v>
      </c>
      <c r="U258" s="11">
        <f>R258*4</f>
        <v>46.4</v>
      </c>
      <c r="V258" s="12">
        <f>(4/3)*3.14*(U258/2)^3</f>
        <v>52279.610026666662</v>
      </c>
      <c r="W258" s="12">
        <f>V258/1000</f>
        <v>52.27961002666666</v>
      </c>
    </row>
    <row r="259" spans="1:23" x14ac:dyDescent="0.25">
      <c r="A259" s="7">
        <v>258</v>
      </c>
      <c r="B259" s="8" t="s">
        <v>317</v>
      </c>
      <c r="C259" s="8" t="s">
        <v>353</v>
      </c>
      <c r="D259" s="7" t="s">
        <v>319</v>
      </c>
      <c r="E259" s="8" t="s">
        <v>25</v>
      </c>
      <c r="F259" s="7">
        <v>-1700</v>
      </c>
      <c r="G259" s="7">
        <v>-1400</v>
      </c>
      <c r="H259" s="7">
        <f>(F259+G259)/2</f>
        <v>-1550</v>
      </c>
      <c r="I259" s="9">
        <v>5</v>
      </c>
      <c r="J259" s="10" t="s">
        <v>32</v>
      </c>
      <c r="K259" s="8" t="s">
        <v>157</v>
      </c>
      <c r="L259" s="8" t="s">
        <v>38</v>
      </c>
      <c r="M259" s="8"/>
      <c r="N259" s="8"/>
      <c r="O259" s="8" t="s">
        <v>44</v>
      </c>
      <c r="P259" s="11">
        <v>9.6</v>
      </c>
      <c r="Q259" s="11">
        <v>7</v>
      </c>
      <c r="R259" s="11">
        <v>10.3</v>
      </c>
      <c r="S259" s="11">
        <f>P259*4</f>
        <v>38.4</v>
      </c>
      <c r="T259" s="11">
        <f>Q259*4</f>
        <v>28</v>
      </c>
      <c r="U259" s="11">
        <f>R259*4</f>
        <v>41.2</v>
      </c>
      <c r="V259" s="12">
        <f>(4/3)*3.14*(U259/2)^3</f>
        <v>36599.069653333339</v>
      </c>
      <c r="W259" s="12">
        <f>V259/1000</f>
        <v>36.599069653333338</v>
      </c>
    </row>
    <row r="260" spans="1:23" x14ac:dyDescent="0.25">
      <c r="A260" s="7">
        <v>259</v>
      </c>
      <c r="B260" s="8" t="s">
        <v>317</v>
      </c>
      <c r="C260" s="8" t="s">
        <v>354</v>
      </c>
      <c r="D260" s="7" t="s">
        <v>319</v>
      </c>
      <c r="E260" s="8" t="s">
        <v>25</v>
      </c>
      <c r="F260" s="7">
        <v>-1700</v>
      </c>
      <c r="G260" s="7">
        <v>-1400</v>
      </c>
      <c r="H260" s="7">
        <f>(F260+G260)/2</f>
        <v>-1550</v>
      </c>
      <c r="I260" s="9">
        <v>2</v>
      </c>
      <c r="J260" s="10" t="s">
        <v>26</v>
      </c>
      <c r="K260" s="8" t="s">
        <v>27</v>
      </c>
      <c r="L260" s="8" t="s">
        <v>28</v>
      </c>
      <c r="M260" s="8"/>
      <c r="N260" s="8"/>
      <c r="O260" s="8" t="s">
        <v>44</v>
      </c>
      <c r="P260" s="11">
        <v>5.7</v>
      </c>
      <c r="Q260" s="11">
        <v>2.1</v>
      </c>
      <c r="R260" s="11">
        <v>5.7</v>
      </c>
      <c r="S260" s="11">
        <f>P260*4</f>
        <v>22.8</v>
      </c>
      <c r="T260" s="11">
        <f>Q260*4</f>
        <v>8.4</v>
      </c>
      <c r="U260" s="11">
        <f>R260*4</f>
        <v>22.8</v>
      </c>
      <c r="V260" s="12">
        <f>(1/3)*3.14*T260^2*(3*(U260/2)-T260)</f>
        <v>1905.4022400000003</v>
      </c>
      <c r="W260" s="12">
        <f>V260/1000</f>
        <v>1.9054022400000004</v>
      </c>
    </row>
    <row r="261" spans="1:23" x14ac:dyDescent="0.25">
      <c r="A261" s="7">
        <v>260</v>
      </c>
      <c r="B261" s="8" t="s">
        <v>317</v>
      </c>
      <c r="C261" s="8" t="s">
        <v>355</v>
      </c>
      <c r="D261" s="7" t="s">
        <v>319</v>
      </c>
      <c r="E261" s="8" t="s">
        <v>25</v>
      </c>
      <c r="F261" s="7">
        <v>-1700</v>
      </c>
      <c r="G261" s="7">
        <v>-1400</v>
      </c>
      <c r="H261" s="7">
        <f>(F261+G261)/2</f>
        <v>-1550</v>
      </c>
      <c r="I261" s="9">
        <v>2</v>
      </c>
      <c r="J261" s="10" t="s">
        <v>26</v>
      </c>
      <c r="K261" s="8" t="s">
        <v>27</v>
      </c>
      <c r="L261" s="8" t="s">
        <v>28</v>
      </c>
      <c r="M261" s="8"/>
      <c r="N261" s="8"/>
      <c r="O261" s="8" t="s">
        <v>44</v>
      </c>
      <c r="P261" s="11">
        <v>6</v>
      </c>
      <c r="Q261" s="11">
        <v>2.4</v>
      </c>
      <c r="R261" s="11">
        <v>6</v>
      </c>
      <c r="S261" s="11">
        <f>P261*4</f>
        <v>24</v>
      </c>
      <c r="T261" s="11">
        <f>Q261*4</f>
        <v>9.6</v>
      </c>
      <c r="U261" s="11">
        <f>R261*4</f>
        <v>24</v>
      </c>
      <c r="V261" s="12">
        <f>(1/3)*3.14*T261^2*(3*(U261/2)-T261)</f>
        <v>2546.5651199999998</v>
      </c>
      <c r="W261" s="12">
        <f>V261/1000</f>
        <v>2.5465651199999999</v>
      </c>
    </row>
    <row r="262" spans="1:23" x14ac:dyDescent="0.25">
      <c r="A262" s="7">
        <v>261</v>
      </c>
      <c r="B262" s="8" t="s">
        <v>317</v>
      </c>
      <c r="C262" s="8" t="s">
        <v>356</v>
      </c>
      <c r="D262" s="7" t="s">
        <v>319</v>
      </c>
      <c r="E262" s="8" t="s">
        <v>25</v>
      </c>
      <c r="F262" s="7">
        <v>-1700</v>
      </c>
      <c r="G262" s="7">
        <v>-1400</v>
      </c>
      <c r="H262" s="7">
        <f>(F262+G262)/2</f>
        <v>-1550</v>
      </c>
      <c r="I262" s="9">
        <v>4</v>
      </c>
      <c r="J262" s="10" t="s">
        <v>26</v>
      </c>
      <c r="K262" s="8" t="s">
        <v>157</v>
      </c>
      <c r="L262" s="8" t="s">
        <v>38</v>
      </c>
      <c r="M262" s="8"/>
      <c r="N262" s="8"/>
      <c r="O262" s="8" t="s">
        <v>44</v>
      </c>
      <c r="P262" s="11">
        <v>4.5</v>
      </c>
      <c r="Q262" s="11">
        <v>2.1</v>
      </c>
      <c r="R262" s="11">
        <v>4.5</v>
      </c>
      <c r="S262" s="11">
        <f>P262*4</f>
        <v>18</v>
      </c>
      <c r="T262" s="11">
        <f>Q262*4</f>
        <v>8.4</v>
      </c>
      <c r="U262" s="11">
        <f>R262*4</f>
        <v>18</v>
      </c>
      <c r="V262" s="12">
        <f>(2/3)*3.14*(U262/2)^3</f>
        <v>1526.04</v>
      </c>
      <c r="W262" s="12">
        <f>V262/1000</f>
        <v>1.5260400000000001</v>
      </c>
    </row>
    <row r="263" spans="1:23" x14ac:dyDescent="0.25">
      <c r="A263" s="7">
        <v>262</v>
      </c>
      <c r="B263" s="8" t="s">
        <v>317</v>
      </c>
      <c r="C263" s="8" t="s">
        <v>357</v>
      </c>
      <c r="D263" s="7" t="s">
        <v>319</v>
      </c>
      <c r="E263" s="8" t="s">
        <v>25</v>
      </c>
      <c r="F263" s="7">
        <v>-1700</v>
      </c>
      <c r="G263" s="7">
        <v>-1400</v>
      </c>
      <c r="H263" s="7">
        <f>(F263+G263)/2</f>
        <v>-1550</v>
      </c>
      <c r="I263" s="9">
        <v>2</v>
      </c>
      <c r="J263" s="10" t="s">
        <v>26</v>
      </c>
      <c r="K263" s="8" t="s">
        <v>27</v>
      </c>
      <c r="L263" s="8" t="s">
        <v>28</v>
      </c>
      <c r="M263" s="8"/>
      <c r="N263" s="8"/>
      <c r="O263" s="8" t="s">
        <v>44</v>
      </c>
      <c r="P263" s="11">
        <v>4.5</v>
      </c>
      <c r="Q263" s="11">
        <v>1.9</v>
      </c>
      <c r="R263" s="11">
        <v>4.5</v>
      </c>
      <c r="S263" s="11">
        <f>P263*4</f>
        <v>18</v>
      </c>
      <c r="T263" s="11">
        <f>Q263*4</f>
        <v>7.6</v>
      </c>
      <c r="U263" s="11">
        <f>R263*4</f>
        <v>18</v>
      </c>
      <c r="V263" s="12">
        <f>(1/3)*3.14*T263^2*(3*(U263/2)-T263)</f>
        <v>1172.8360533333332</v>
      </c>
      <c r="W263" s="12">
        <f>V263/1000</f>
        <v>1.1728360533333333</v>
      </c>
    </row>
    <row r="264" spans="1:23" x14ac:dyDescent="0.25">
      <c r="A264" s="7">
        <v>263</v>
      </c>
      <c r="B264" s="8" t="s">
        <v>317</v>
      </c>
      <c r="C264" s="8" t="s">
        <v>358</v>
      </c>
      <c r="D264" s="7" t="s">
        <v>319</v>
      </c>
      <c r="E264" s="8" t="s">
        <v>25</v>
      </c>
      <c r="F264" s="7">
        <v>-1700</v>
      </c>
      <c r="G264" s="7">
        <v>-1400</v>
      </c>
      <c r="H264" s="7">
        <f>(F264+G264)/2</f>
        <v>-1550</v>
      </c>
      <c r="I264" s="9">
        <v>2</v>
      </c>
      <c r="J264" s="10" t="s">
        <v>34</v>
      </c>
      <c r="K264" s="8" t="s">
        <v>157</v>
      </c>
      <c r="L264" s="8" t="s">
        <v>38</v>
      </c>
      <c r="M264" s="8"/>
      <c r="N264" s="8"/>
      <c r="O264" s="8" t="s">
        <v>44</v>
      </c>
      <c r="P264" s="11">
        <v>6.5</v>
      </c>
      <c r="Q264" s="11">
        <v>2.2000000000000002</v>
      </c>
      <c r="R264" s="11">
        <v>6.5</v>
      </c>
      <c r="S264" s="11">
        <f>P264*4</f>
        <v>26</v>
      </c>
      <c r="T264" s="11">
        <f>Q264*4</f>
        <v>8.8000000000000007</v>
      </c>
      <c r="U264" s="11">
        <f>R264*4</f>
        <v>26</v>
      </c>
      <c r="V264" s="12">
        <f>(1/3)*3.14*T264^2*(3*(U264/2)-T264)</f>
        <v>2447.8267733333337</v>
      </c>
      <c r="W264" s="12">
        <f>V264/1000</f>
        <v>2.4478267733333339</v>
      </c>
    </row>
    <row r="265" spans="1:23" x14ac:dyDescent="0.25">
      <c r="A265" s="7">
        <v>264</v>
      </c>
      <c r="B265" s="8" t="s">
        <v>317</v>
      </c>
      <c r="C265" s="8" t="s">
        <v>359</v>
      </c>
      <c r="D265" s="7" t="s">
        <v>319</v>
      </c>
      <c r="E265" s="8" t="s">
        <v>25</v>
      </c>
      <c r="F265" s="7">
        <v>-1700</v>
      </c>
      <c r="G265" s="7">
        <v>-1400</v>
      </c>
      <c r="H265" s="7">
        <f>(F265+G265)/2</f>
        <v>-1550</v>
      </c>
      <c r="I265" s="9">
        <v>2</v>
      </c>
      <c r="J265" s="10" t="s">
        <v>34</v>
      </c>
      <c r="K265" s="8" t="s">
        <v>27</v>
      </c>
      <c r="L265" s="8" t="s">
        <v>28</v>
      </c>
      <c r="M265" s="8"/>
      <c r="N265" s="8"/>
      <c r="O265" s="8" t="s">
        <v>44</v>
      </c>
      <c r="P265" s="11">
        <v>6.4</v>
      </c>
      <c r="Q265" s="11">
        <v>2.8</v>
      </c>
      <c r="R265" s="11">
        <v>6.4</v>
      </c>
      <c r="S265" s="11">
        <f>P265*4</f>
        <v>25.6</v>
      </c>
      <c r="T265" s="11">
        <f>Q265*4</f>
        <v>11.2</v>
      </c>
      <c r="U265" s="11">
        <f>R265*4</f>
        <v>25.6</v>
      </c>
      <c r="V265" s="12">
        <f>(1/3)*3.14*T265^2*(3*(U265/2)-T265)</f>
        <v>3571.1931733333336</v>
      </c>
      <c r="W265" s="12">
        <f>V265/1000</f>
        <v>3.5711931733333335</v>
      </c>
    </row>
    <row r="266" spans="1:23" x14ac:dyDescent="0.25">
      <c r="A266" s="7">
        <v>265</v>
      </c>
      <c r="B266" s="8" t="s">
        <v>317</v>
      </c>
      <c r="C266" s="8" t="s">
        <v>360</v>
      </c>
      <c r="D266" s="7" t="s">
        <v>319</v>
      </c>
      <c r="E266" s="8" t="s">
        <v>25</v>
      </c>
      <c r="F266" s="7">
        <v>-1700</v>
      </c>
      <c r="G266" s="7">
        <v>-1400</v>
      </c>
      <c r="H266" s="7">
        <f>(F266+G266)/2</f>
        <v>-1550</v>
      </c>
      <c r="I266" s="9">
        <v>2</v>
      </c>
      <c r="J266" s="10" t="s">
        <v>34</v>
      </c>
      <c r="K266" s="8" t="s">
        <v>27</v>
      </c>
      <c r="L266" s="8" t="s">
        <v>28</v>
      </c>
      <c r="M266" s="8"/>
      <c r="N266" s="8"/>
      <c r="O266" s="8" t="s">
        <v>44</v>
      </c>
      <c r="P266" s="11">
        <v>8.6999999999999993</v>
      </c>
      <c r="Q266" s="11">
        <v>3.2</v>
      </c>
      <c r="R266" s="11">
        <v>8.6999999999999993</v>
      </c>
      <c r="S266" s="11">
        <f>P266*4</f>
        <v>34.799999999999997</v>
      </c>
      <c r="T266" s="11">
        <f>Q266*4</f>
        <v>12.8</v>
      </c>
      <c r="U266" s="11">
        <f>R266*4</f>
        <v>34.799999999999997</v>
      </c>
      <c r="V266" s="12">
        <f>(1/3)*3.14*T266^2*(3*(U266/2)-T266)</f>
        <v>6756.543146666666</v>
      </c>
      <c r="W266" s="12">
        <f>V266/1000</f>
        <v>6.7565431466666661</v>
      </c>
    </row>
    <row r="267" spans="1:23" x14ac:dyDescent="0.25">
      <c r="A267" s="7">
        <v>266</v>
      </c>
      <c r="B267" s="8" t="s">
        <v>317</v>
      </c>
      <c r="C267" s="8" t="s">
        <v>361</v>
      </c>
      <c r="D267" s="7" t="s">
        <v>319</v>
      </c>
      <c r="E267" s="8" t="s">
        <v>25</v>
      </c>
      <c r="F267" s="7">
        <v>-1700</v>
      </c>
      <c r="G267" s="7">
        <v>-1400</v>
      </c>
      <c r="H267" s="7">
        <f>(F267+G267)/2</f>
        <v>-1550</v>
      </c>
      <c r="I267" s="9">
        <v>2</v>
      </c>
      <c r="J267" s="10" t="s">
        <v>26</v>
      </c>
      <c r="K267" s="8" t="s">
        <v>27</v>
      </c>
      <c r="L267" s="8" t="s">
        <v>28</v>
      </c>
      <c r="M267" s="8"/>
      <c r="N267" s="8"/>
      <c r="O267" s="8" t="s">
        <v>44</v>
      </c>
      <c r="P267" s="11">
        <v>5</v>
      </c>
      <c r="Q267" s="11">
        <v>2</v>
      </c>
      <c r="R267" s="11">
        <v>5</v>
      </c>
      <c r="S267" s="11">
        <f>P267*4</f>
        <v>20</v>
      </c>
      <c r="T267" s="11">
        <f>Q267*4</f>
        <v>8</v>
      </c>
      <c r="U267" s="11">
        <f>R267*4</f>
        <v>20</v>
      </c>
      <c r="V267" s="12">
        <f>(1/3)*3.14*T267^2*(3*(U267/2)-T267)</f>
        <v>1473.7066666666667</v>
      </c>
      <c r="W267" s="12">
        <f>V267/1000</f>
        <v>1.4737066666666667</v>
      </c>
    </row>
    <row r="268" spans="1:23" x14ac:dyDescent="0.25">
      <c r="A268" s="7">
        <v>267</v>
      </c>
      <c r="B268" s="8" t="s">
        <v>317</v>
      </c>
      <c r="C268" s="8" t="s">
        <v>362</v>
      </c>
      <c r="D268" s="7" t="s">
        <v>319</v>
      </c>
      <c r="E268" s="8" t="s">
        <v>25</v>
      </c>
      <c r="F268" s="7">
        <v>-1700</v>
      </c>
      <c r="G268" s="7">
        <v>-1400</v>
      </c>
      <c r="H268" s="7">
        <f>(F268+G268)/2</f>
        <v>-1550</v>
      </c>
      <c r="I268" s="9">
        <v>2</v>
      </c>
      <c r="J268" s="10" t="s">
        <v>34</v>
      </c>
      <c r="K268" s="8" t="s">
        <v>27</v>
      </c>
      <c r="L268" s="8" t="s">
        <v>28</v>
      </c>
      <c r="M268" s="8"/>
      <c r="N268" s="8"/>
      <c r="O268" s="8" t="s">
        <v>44</v>
      </c>
      <c r="P268" s="11">
        <v>6.3</v>
      </c>
      <c r="Q268" s="11">
        <v>2.5</v>
      </c>
      <c r="R268" s="11">
        <v>6.3</v>
      </c>
      <c r="S268" s="11">
        <f>P268*4</f>
        <v>25.2</v>
      </c>
      <c r="T268" s="11">
        <f>Q268*4</f>
        <v>10</v>
      </c>
      <c r="U268" s="11">
        <f>R268*4</f>
        <v>25.2</v>
      </c>
      <c r="V268" s="12">
        <f>(1/3)*3.14*T268^2*(3*(U268/2)-T268)</f>
        <v>2909.7333333333327</v>
      </c>
      <c r="W268" s="12">
        <f>V268/1000</f>
        <v>2.9097333333333326</v>
      </c>
    </row>
    <row r="269" spans="1:23" x14ac:dyDescent="0.25">
      <c r="A269" s="7">
        <v>268</v>
      </c>
      <c r="B269" s="8" t="s">
        <v>317</v>
      </c>
      <c r="C269" s="8" t="s">
        <v>363</v>
      </c>
      <c r="D269" s="7" t="s">
        <v>319</v>
      </c>
      <c r="E269" s="8" t="s">
        <v>25</v>
      </c>
      <c r="F269" s="7">
        <v>-1700</v>
      </c>
      <c r="G269" s="7">
        <v>-1400</v>
      </c>
      <c r="H269" s="7">
        <f>(F269+G269)/2</f>
        <v>-1550</v>
      </c>
      <c r="I269" s="9">
        <v>2</v>
      </c>
      <c r="J269" s="10" t="s">
        <v>34</v>
      </c>
      <c r="K269" s="8" t="s">
        <v>27</v>
      </c>
      <c r="L269" s="8" t="s">
        <v>28</v>
      </c>
      <c r="M269" s="8"/>
      <c r="N269" s="8"/>
      <c r="O269" s="8" t="s">
        <v>44</v>
      </c>
      <c r="P269" s="11">
        <v>7.5</v>
      </c>
      <c r="Q269" s="11">
        <v>3</v>
      </c>
      <c r="R269" s="11">
        <v>7.5</v>
      </c>
      <c r="S269" s="11">
        <f>P269*4</f>
        <v>30</v>
      </c>
      <c r="T269" s="11">
        <f>Q269*4</f>
        <v>12</v>
      </c>
      <c r="U269" s="11">
        <f>R269*4</f>
        <v>30</v>
      </c>
      <c r="V269" s="12">
        <f>(1/3)*3.14*T269^2*(3*(U269/2)-T269)</f>
        <v>4973.76</v>
      </c>
      <c r="W269" s="12">
        <f>V269/1000</f>
        <v>4.9737600000000004</v>
      </c>
    </row>
    <row r="270" spans="1:23" x14ac:dyDescent="0.25">
      <c r="A270" s="7">
        <v>269</v>
      </c>
      <c r="B270" s="8" t="s">
        <v>317</v>
      </c>
      <c r="C270" s="8" t="s">
        <v>364</v>
      </c>
      <c r="D270" s="7" t="s">
        <v>319</v>
      </c>
      <c r="E270" s="8" t="s">
        <v>25</v>
      </c>
      <c r="F270" s="7">
        <v>-1700</v>
      </c>
      <c r="G270" s="7">
        <v>-1400</v>
      </c>
      <c r="H270" s="7">
        <f>(F270+G270)/2</f>
        <v>-1550</v>
      </c>
      <c r="I270" s="9">
        <v>4</v>
      </c>
      <c r="J270" s="10" t="s">
        <v>34</v>
      </c>
      <c r="K270" s="8" t="s">
        <v>27</v>
      </c>
      <c r="L270" s="8" t="s">
        <v>28</v>
      </c>
      <c r="M270" s="8"/>
      <c r="N270" s="8"/>
      <c r="O270" s="8" t="s">
        <v>44</v>
      </c>
      <c r="P270" s="11">
        <v>7.5</v>
      </c>
      <c r="Q270" s="11">
        <v>3.9</v>
      </c>
      <c r="R270" s="11">
        <v>7.5</v>
      </c>
      <c r="S270" s="11">
        <f>P270*4</f>
        <v>30</v>
      </c>
      <c r="T270" s="11">
        <f>Q270*4</f>
        <v>15.6</v>
      </c>
      <c r="U270" s="11">
        <f>R270*4</f>
        <v>30</v>
      </c>
      <c r="V270" s="12">
        <f>(2/3)*3.14*(U270/2)^3</f>
        <v>7065</v>
      </c>
      <c r="W270" s="12">
        <f>V270/1000</f>
        <v>7.0650000000000004</v>
      </c>
    </row>
    <row r="271" spans="1:23" x14ac:dyDescent="0.25">
      <c r="A271" s="7">
        <v>270</v>
      </c>
      <c r="B271" s="8" t="s">
        <v>317</v>
      </c>
      <c r="C271" s="8" t="s">
        <v>365</v>
      </c>
      <c r="D271" s="7" t="s">
        <v>319</v>
      </c>
      <c r="E271" s="8" t="s">
        <v>25</v>
      </c>
      <c r="F271" s="7">
        <v>-1700</v>
      </c>
      <c r="G271" s="7">
        <v>-1400</v>
      </c>
      <c r="H271" s="7">
        <f>(F271+G271)/2</f>
        <v>-1550</v>
      </c>
      <c r="I271" s="9">
        <v>4</v>
      </c>
      <c r="J271" s="10" t="s">
        <v>32</v>
      </c>
      <c r="K271" s="8" t="s">
        <v>27</v>
      </c>
      <c r="L271" s="8" t="s">
        <v>28</v>
      </c>
      <c r="M271" s="8"/>
      <c r="N271" s="8"/>
      <c r="O271" s="8" t="s">
        <v>44</v>
      </c>
      <c r="P271" s="11">
        <v>10</v>
      </c>
      <c r="Q271" s="11">
        <v>5.2</v>
      </c>
      <c r="R271" s="11">
        <v>10</v>
      </c>
      <c r="S271" s="11">
        <f>P271*4</f>
        <v>40</v>
      </c>
      <c r="T271" s="11">
        <f>Q271*4</f>
        <v>20.8</v>
      </c>
      <c r="U271" s="11">
        <f>R271*4</f>
        <v>40</v>
      </c>
      <c r="V271" s="12">
        <f>(2/3)*3.14*(U271/2)^3</f>
        <v>16746.666666666668</v>
      </c>
      <c r="W271" s="12">
        <f>V271/1000</f>
        <v>16.746666666666666</v>
      </c>
    </row>
    <row r="272" spans="1:23" x14ac:dyDescent="0.25">
      <c r="A272" s="7">
        <v>271</v>
      </c>
      <c r="B272" s="8" t="s">
        <v>317</v>
      </c>
      <c r="C272" s="8" t="s">
        <v>366</v>
      </c>
      <c r="D272" s="7" t="s">
        <v>319</v>
      </c>
      <c r="E272" s="8" t="s">
        <v>25</v>
      </c>
      <c r="F272" s="7">
        <v>-1700</v>
      </c>
      <c r="G272" s="7">
        <v>-1400</v>
      </c>
      <c r="H272" s="7">
        <f>(F272+G272)/2</f>
        <v>-1550</v>
      </c>
      <c r="I272" s="9">
        <v>4</v>
      </c>
      <c r="J272" s="10" t="s">
        <v>26</v>
      </c>
      <c r="K272" s="8" t="s">
        <v>27</v>
      </c>
      <c r="L272" s="8" t="s">
        <v>28</v>
      </c>
      <c r="M272" s="8"/>
      <c r="N272" s="8"/>
      <c r="O272" s="8" t="s">
        <v>44</v>
      </c>
      <c r="P272" s="11">
        <v>5</v>
      </c>
      <c r="Q272" s="11">
        <v>3.1</v>
      </c>
      <c r="R272" s="11">
        <v>5</v>
      </c>
      <c r="S272" s="11">
        <f>P272*4</f>
        <v>20</v>
      </c>
      <c r="T272" s="11">
        <f>Q272*4</f>
        <v>12.4</v>
      </c>
      <c r="U272" s="11">
        <f>R272*4</f>
        <v>20</v>
      </c>
      <c r="V272" s="12">
        <f>(2/3)*3.14*(U272/2)^3</f>
        <v>2093.3333333333335</v>
      </c>
      <c r="W272" s="12">
        <f>V272/1000</f>
        <v>2.0933333333333333</v>
      </c>
    </row>
    <row r="273" spans="1:23" x14ac:dyDescent="0.25">
      <c r="A273" s="7">
        <v>272</v>
      </c>
      <c r="B273" s="8" t="s">
        <v>317</v>
      </c>
      <c r="C273" s="8" t="s">
        <v>367</v>
      </c>
      <c r="D273" s="7" t="s">
        <v>319</v>
      </c>
      <c r="E273" s="8" t="s">
        <v>25</v>
      </c>
      <c r="F273" s="7">
        <v>-1700</v>
      </c>
      <c r="G273" s="7">
        <v>-1400</v>
      </c>
      <c r="H273" s="7">
        <f>(F273+G273)/2</f>
        <v>-1550</v>
      </c>
      <c r="I273" s="9">
        <v>4</v>
      </c>
      <c r="J273" s="10" t="s">
        <v>32</v>
      </c>
      <c r="K273" s="8" t="s">
        <v>27</v>
      </c>
      <c r="L273" s="8" t="s">
        <v>28</v>
      </c>
      <c r="M273" s="8"/>
      <c r="N273" s="8"/>
      <c r="O273" s="8" t="s">
        <v>44</v>
      </c>
      <c r="P273" s="11">
        <v>10</v>
      </c>
      <c r="Q273" s="11">
        <v>6.1</v>
      </c>
      <c r="R273" s="11">
        <v>10</v>
      </c>
      <c r="S273" s="11">
        <f>P273*4</f>
        <v>40</v>
      </c>
      <c r="T273" s="11">
        <f>Q273*4</f>
        <v>24.4</v>
      </c>
      <c r="U273" s="11">
        <f>R273*4</f>
        <v>40</v>
      </c>
      <c r="V273" s="12">
        <f>(2/3)*3.14*(U273/2)^3</f>
        <v>16746.666666666668</v>
      </c>
      <c r="W273" s="12">
        <f>V273/1000</f>
        <v>16.746666666666666</v>
      </c>
    </row>
    <row r="274" spans="1:23" x14ac:dyDescent="0.25">
      <c r="A274" s="7">
        <v>273</v>
      </c>
      <c r="B274" s="8" t="s">
        <v>317</v>
      </c>
      <c r="C274" s="8" t="s">
        <v>368</v>
      </c>
      <c r="D274" s="7" t="s">
        <v>319</v>
      </c>
      <c r="E274" s="8" t="s">
        <v>25</v>
      </c>
      <c r="F274" s="7">
        <v>-1700</v>
      </c>
      <c r="G274" s="7">
        <v>-1400</v>
      </c>
      <c r="H274" s="7">
        <f>(F274+G274)/2</f>
        <v>-1550</v>
      </c>
      <c r="I274" s="9">
        <v>4</v>
      </c>
      <c r="J274" s="10" t="s">
        <v>26</v>
      </c>
      <c r="K274" s="8" t="s">
        <v>27</v>
      </c>
      <c r="L274" s="8" t="s">
        <v>28</v>
      </c>
      <c r="M274" s="8"/>
      <c r="N274" s="8"/>
      <c r="O274" s="8" t="s">
        <v>44</v>
      </c>
      <c r="P274" s="11">
        <v>5.5</v>
      </c>
      <c r="Q274" s="11">
        <v>3.8</v>
      </c>
      <c r="R274" s="11">
        <v>5.5</v>
      </c>
      <c r="S274" s="11">
        <f>P274*4</f>
        <v>22</v>
      </c>
      <c r="T274" s="11">
        <f>Q274*4</f>
        <v>15.2</v>
      </c>
      <c r="U274" s="11">
        <f>R274*4</f>
        <v>22</v>
      </c>
      <c r="V274" s="12">
        <f>(2/3)*3.14*(U274/2)^3</f>
        <v>2786.2266666666665</v>
      </c>
      <c r="W274" s="12">
        <f>V274/1000</f>
        <v>2.7862266666666664</v>
      </c>
    </row>
    <row r="275" spans="1:23" x14ac:dyDescent="0.25">
      <c r="A275" s="7">
        <v>274</v>
      </c>
      <c r="B275" s="8" t="s">
        <v>317</v>
      </c>
      <c r="C275" s="8" t="s">
        <v>369</v>
      </c>
      <c r="D275" s="7" t="s">
        <v>319</v>
      </c>
      <c r="E275" s="8" t="s">
        <v>25</v>
      </c>
      <c r="F275" s="7">
        <v>-1700</v>
      </c>
      <c r="G275" s="7">
        <v>-1400</v>
      </c>
      <c r="H275" s="7">
        <f>(F275+G275)/2</f>
        <v>-1550</v>
      </c>
      <c r="I275" s="9">
        <v>4</v>
      </c>
      <c r="J275" s="10" t="s">
        <v>32</v>
      </c>
      <c r="K275" s="8" t="s">
        <v>27</v>
      </c>
      <c r="L275" s="8" t="s">
        <v>28</v>
      </c>
      <c r="M275" s="8"/>
      <c r="N275" s="8"/>
      <c r="O275" s="8" t="s">
        <v>44</v>
      </c>
      <c r="P275" s="11">
        <v>11.2</v>
      </c>
      <c r="Q275" s="11">
        <v>6.9</v>
      </c>
      <c r="R275" s="11">
        <v>11.2</v>
      </c>
      <c r="S275" s="11">
        <f>P275*4</f>
        <v>44.8</v>
      </c>
      <c r="T275" s="11">
        <f>Q275*4</f>
        <v>27.6</v>
      </c>
      <c r="U275" s="11">
        <f>R275*4</f>
        <v>44.8</v>
      </c>
      <c r="V275" s="12">
        <f>(2/3)*3.14*(U275/2)^3</f>
        <v>23527.860906666661</v>
      </c>
      <c r="W275" s="12">
        <f>V275/1000</f>
        <v>23.52786090666666</v>
      </c>
    </row>
    <row r="276" spans="1:23" x14ac:dyDescent="0.25">
      <c r="A276" s="7">
        <v>275</v>
      </c>
      <c r="B276" s="8" t="s">
        <v>317</v>
      </c>
      <c r="C276" s="8" t="s">
        <v>370</v>
      </c>
      <c r="D276" s="7" t="s">
        <v>319</v>
      </c>
      <c r="E276" s="8" t="s">
        <v>25</v>
      </c>
      <c r="F276" s="7">
        <v>-1700</v>
      </c>
      <c r="G276" s="7">
        <v>-1400</v>
      </c>
      <c r="H276" s="7">
        <f>(F276+G276)/2</f>
        <v>-1550</v>
      </c>
      <c r="I276" s="9">
        <v>4</v>
      </c>
      <c r="J276" s="10" t="s">
        <v>34</v>
      </c>
      <c r="K276" s="8" t="s">
        <v>157</v>
      </c>
      <c r="L276" s="8" t="s">
        <v>38</v>
      </c>
      <c r="M276" s="8"/>
      <c r="N276" s="8"/>
      <c r="O276" s="8" t="s">
        <v>44</v>
      </c>
      <c r="P276" s="11">
        <v>8</v>
      </c>
      <c r="Q276" s="11">
        <v>5.3</v>
      </c>
      <c r="R276" s="11">
        <v>8</v>
      </c>
      <c r="S276" s="11">
        <f>P276*4</f>
        <v>32</v>
      </c>
      <c r="T276" s="11">
        <f>Q276*4</f>
        <v>21.2</v>
      </c>
      <c r="U276" s="11">
        <f>R276*4</f>
        <v>32</v>
      </c>
      <c r="V276" s="12">
        <f>(2/3)*3.14*(U276/2)^3</f>
        <v>8574.2933333333331</v>
      </c>
      <c r="W276" s="12">
        <f>V276/1000</f>
        <v>8.5742933333333333</v>
      </c>
    </row>
    <row r="277" spans="1:23" x14ac:dyDescent="0.25">
      <c r="A277" s="7">
        <v>276</v>
      </c>
      <c r="B277" s="8" t="s">
        <v>317</v>
      </c>
      <c r="C277" s="8" t="s">
        <v>371</v>
      </c>
      <c r="D277" s="7" t="s">
        <v>319</v>
      </c>
      <c r="E277" s="8" t="s">
        <v>25</v>
      </c>
      <c r="F277" s="7">
        <v>-1700</v>
      </c>
      <c r="G277" s="7">
        <v>-1400</v>
      </c>
      <c r="H277" s="7">
        <f>(F277+G277)/2</f>
        <v>-1550</v>
      </c>
      <c r="I277" s="9">
        <v>4</v>
      </c>
      <c r="J277" s="10" t="s">
        <v>34</v>
      </c>
      <c r="K277" s="8" t="s">
        <v>157</v>
      </c>
      <c r="L277" s="8" t="s">
        <v>38</v>
      </c>
      <c r="M277" s="8"/>
      <c r="N277" s="8"/>
      <c r="O277" s="8" t="s">
        <v>44</v>
      </c>
      <c r="P277" s="11">
        <v>7</v>
      </c>
      <c r="Q277" s="11">
        <v>5.2</v>
      </c>
      <c r="R277" s="11">
        <v>7</v>
      </c>
      <c r="S277" s="11">
        <f>P277*4</f>
        <v>28</v>
      </c>
      <c r="T277" s="11">
        <f>Q277*4</f>
        <v>20.8</v>
      </c>
      <c r="U277" s="11">
        <f>R277*4</f>
        <v>28</v>
      </c>
      <c r="V277" s="12">
        <f>(2/3)*3.14*(U277/2)^3</f>
        <v>5744.1066666666666</v>
      </c>
      <c r="W277" s="12">
        <f>V277/1000</f>
        <v>5.7441066666666662</v>
      </c>
    </row>
    <row r="278" spans="1:23" x14ac:dyDescent="0.25">
      <c r="A278" s="7">
        <v>277</v>
      </c>
      <c r="B278" s="8" t="s">
        <v>317</v>
      </c>
      <c r="C278" s="8" t="s">
        <v>372</v>
      </c>
      <c r="D278" s="7" t="s">
        <v>319</v>
      </c>
      <c r="E278" s="8" t="s">
        <v>25</v>
      </c>
      <c r="F278" s="7">
        <v>-1700</v>
      </c>
      <c r="G278" s="7">
        <v>-1400</v>
      </c>
      <c r="H278" s="7">
        <f>(F278+G278)/2</f>
        <v>-1550</v>
      </c>
      <c r="I278" s="9">
        <v>4</v>
      </c>
      <c r="J278" s="10" t="s">
        <v>34</v>
      </c>
      <c r="K278" s="8" t="s">
        <v>27</v>
      </c>
      <c r="L278" s="8" t="s">
        <v>28</v>
      </c>
      <c r="M278" s="8"/>
      <c r="N278" s="8"/>
      <c r="O278" s="8" t="s">
        <v>44</v>
      </c>
      <c r="P278" s="11">
        <v>6.3</v>
      </c>
      <c r="Q278" s="11">
        <v>4.3</v>
      </c>
      <c r="R278" s="11">
        <v>6.3</v>
      </c>
      <c r="S278" s="11">
        <f>P278*4</f>
        <v>25.2</v>
      </c>
      <c r="T278" s="11">
        <f>Q278*4</f>
        <v>17.2</v>
      </c>
      <c r="U278" s="11">
        <f>R278*4</f>
        <v>25.2</v>
      </c>
      <c r="V278" s="12">
        <f>(2/3)*3.14*(U278/2)^3</f>
        <v>4187.4537599999994</v>
      </c>
      <c r="W278" s="12">
        <f>V278/1000</f>
        <v>4.1874537599999995</v>
      </c>
    </row>
    <row r="279" spans="1:23" x14ac:dyDescent="0.25">
      <c r="A279" s="7">
        <v>278</v>
      </c>
      <c r="B279" s="8" t="s">
        <v>317</v>
      </c>
      <c r="C279" s="8" t="s">
        <v>373</v>
      </c>
      <c r="D279" s="7" t="s">
        <v>319</v>
      </c>
      <c r="E279" s="8" t="s">
        <v>25</v>
      </c>
      <c r="F279" s="7">
        <v>-1700</v>
      </c>
      <c r="G279" s="7">
        <v>-1400</v>
      </c>
      <c r="H279" s="7">
        <f>(F279+G279)/2</f>
        <v>-1550</v>
      </c>
      <c r="I279" s="9">
        <v>4</v>
      </c>
      <c r="J279" s="10" t="s">
        <v>32</v>
      </c>
      <c r="K279" s="8" t="s">
        <v>27</v>
      </c>
      <c r="L279" s="8" t="s">
        <v>28</v>
      </c>
      <c r="M279" s="8"/>
      <c r="N279" s="8"/>
      <c r="O279" s="8" t="s">
        <v>44</v>
      </c>
      <c r="P279" s="11">
        <v>9.5</v>
      </c>
      <c r="Q279" s="11">
        <v>4.2</v>
      </c>
      <c r="R279" s="11">
        <v>9.5</v>
      </c>
      <c r="S279" s="11">
        <f>P279*4</f>
        <v>38</v>
      </c>
      <c r="T279" s="11">
        <f>Q279*4</f>
        <v>16.8</v>
      </c>
      <c r="U279" s="11">
        <f>R279*4</f>
        <v>38</v>
      </c>
      <c r="V279" s="12">
        <f>(2/3)*3.14*(U279/2)^3</f>
        <v>14358.173333333332</v>
      </c>
      <c r="W279" s="12">
        <f>V279/1000</f>
        <v>14.358173333333331</v>
      </c>
    </row>
    <row r="280" spans="1:23" x14ac:dyDescent="0.25">
      <c r="A280" s="7">
        <v>279</v>
      </c>
      <c r="B280" s="8" t="s">
        <v>317</v>
      </c>
      <c r="C280" s="8" t="s">
        <v>374</v>
      </c>
      <c r="D280" s="7" t="s">
        <v>319</v>
      </c>
      <c r="E280" s="8" t="s">
        <v>25</v>
      </c>
      <c r="F280" s="7">
        <v>-1700</v>
      </c>
      <c r="G280" s="7">
        <v>-1400</v>
      </c>
      <c r="H280" s="7">
        <f>(F280+G280)/2</f>
        <v>-1550</v>
      </c>
      <c r="I280" s="9">
        <v>4</v>
      </c>
      <c r="J280" s="10" t="s">
        <v>34</v>
      </c>
      <c r="K280" s="8" t="s">
        <v>27</v>
      </c>
      <c r="L280" s="8" t="s">
        <v>28</v>
      </c>
      <c r="M280" s="8"/>
      <c r="N280" s="8"/>
      <c r="O280" s="8" t="s">
        <v>44</v>
      </c>
      <c r="P280" s="11">
        <v>7.2</v>
      </c>
      <c r="Q280" s="11">
        <v>4.9000000000000004</v>
      </c>
      <c r="R280" s="11">
        <v>7.2</v>
      </c>
      <c r="S280" s="11">
        <f>P280*4</f>
        <v>28.8</v>
      </c>
      <c r="T280" s="11">
        <f>Q280*4</f>
        <v>19.600000000000001</v>
      </c>
      <c r="U280" s="11">
        <f>R280*4</f>
        <v>28.8</v>
      </c>
      <c r="V280" s="12">
        <f>(2/3)*3.14*(U280/2)^3</f>
        <v>6250.6598400000003</v>
      </c>
      <c r="W280" s="12">
        <f>V280/1000</f>
        <v>6.25065984</v>
      </c>
    </row>
    <row r="281" spans="1:23" x14ac:dyDescent="0.25">
      <c r="A281" s="7">
        <v>280</v>
      </c>
      <c r="B281" s="8" t="s">
        <v>317</v>
      </c>
      <c r="C281" s="8" t="s">
        <v>375</v>
      </c>
      <c r="D281" s="7" t="s">
        <v>319</v>
      </c>
      <c r="E281" s="8" t="s">
        <v>25</v>
      </c>
      <c r="F281" s="7">
        <v>-1700</v>
      </c>
      <c r="G281" s="7">
        <v>-1400</v>
      </c>
      <c r="H281" s="7">
        <f>(F281+G281)/2</f>
        <v>-1550</v>
      </c>
      <c r="I281" s="9">
        <v>4</v>
      </c>
      <c r="J281" s="10" t="s">
        <v>34</v>
      </c>
      <c r="K281" s="8" t="s">
        <v>157</v>
      </c>
      <c r="L281" s="8" t="s">
        <v>38</v>
      </c>
      <c r="M281" s="8"/>
      <c r="N281" s="8"/>
      <c r="O281" s="8" t="s">
        <v>44</v>
      </c>
      <c r="P281" s="11">
        <v>7</v>
      </c>
      <c r="Q281" s="11">
        <v>4.8</v>
      </c>
      <c r="R281" s="11">
        <v>7</v>
      </c>
      <c r="S281" s="11">
        <f>P281*4</f>
        <v>28</v>
      </c>
      <c r="T281" s="11">
        <f>Q281*4</f>
        <v>19.2</v>
      </c>
      <c r="U281" s="11">
        <f>R281*4</f>
        <v>28</v>
      </c>
      <c r="V281" s="12">
        <f>(2/3)*3.14*(U281/2)^3</f>
        <v>5744.1066666666666</v>
      </c>
      <c r="W281" s="12">
        <f>V281/1000</f>
        <v>5.7441066666666662</v>
      </c>
    </row>
    <row r="282" spans="1:23" x14ac:dyDescent="0.25">
      <c r="A282" s="7">
        <v>281</v>
      </c>
      <c r="B282" s="8" t="s">
        <v>317</v>
      </c>
      <c r="C282" s="8" t="s">
        <v>376</v>
      </c>
      <c r="D282" s="7" t="s">
        <v>319</v>
      </c>
      <c r="E282" s="8" t="s">
        <v>25</v>
      </c>
      <c r="F282" s="7">
        <v>-1700</v>
      </c>
      <c r="G282" s="7">
        <v>-1400</v>
      </c>
      <c r="H282" s="7">
        <f>(F282+G282)/2</f>
        <v>-1550</v>
      </c>
      <c r="I282" s="9">
        <v>4</v>
      </c>
      <c r="J282" s="10" t="s">
        <v>34</v>
      </c>
      <c r="K282" s="8" t="s">
        <v>157</v>
      </c>
      <c r="L282" s="8" t="s">
        <v>38</v>
      </c>
      <c r="M282" s="8"/>
      <c r="N282" s="8"/>
      <c r="O282" s="8" t="s">
        <v>44</v>
      </c>
      <c r="P282" s="11">
        <v>7.2</v>
      </c>
      <c r="Q282" s="11">
        <v>4.5999999999999996</v>
      </c>
      <c r="R282" s="11">
        <v>7.2</v>
      </c>
      <c r="S282" s="11">
        <f>P282*4</f>
        <v>28.8</v>
      </c>
      <c r="T282" s="11">
        <f>Q282*4</f>
        <v>18.399999999999999</v>
      </c>
      <c r="U282" s="11">
        <f>R282*4</f>
        <v>28.8</v>
      </c>
      <c r="V282" s="12">
        <f>(2/3)*3.14*(U282/2)^3</f>
        <v>6250.6598400000003</v>
      </c>
      <c r="W282" s="12">
        <f>V282/1000</f>
        <v>6.25065984</v>
      </c>
    </row>
    <row r="283" spans="1:23" x14ac:dyDescent="0.25">
      <c r="A283" s="7">
        <v>282</v>
      </c>
      <c r="B283" s="8" t="s">
        <v>317</v>
      </c>
      <c r="C283" s="8" t="s">
        <v>377</v>
      </c>
      <c r="D283" s="7" t="s">
        <v>319</v>
      </c>
      <c r="E283" s="8" t="s">
        <v>25</v>
      </c>
      <c r="F283" s="7">
        <v>-1700</v>
      </c>
      <c r="G283" s="7">
        <v>-1400</v>
      </c>
      <c r="H283" s="7">
        <f>(F283+G283)/2</f>
        <v>-1550</v>
      </c>
      <c r="I283" s="9">
        <v>4</v>
      </c>
      <c r="J283" s="10" t="s">
        <v>32</v>
      </c>
      <c r="K283" s="8" t="s">
        <v>263</v>
      </c>
      <c r="L283" s="8" t="s">
        <v>28</v>
      </c>
      <c r="M283" s="8"/>
      <c r="N283" s="8"/>
      <c r="O283" s="8" t="s">
        <v>44</v>
      </c>
      <c r="P283" s="11">
        <v>10.4</v>
      </c>
      <c r="Q283" s="11">
        <v>5.4</v>
      </c>
      <c r="R283" s="11">
        <v>10.4</v>
      </c>
      <c r="S283" s="11">
        <f>P283*4</f>
        <v>41.6</v>
      </c>
      <c r="T283" s="11">
        <f>Q283*4</f>
        <v>21.6</v>
      </c>
      <c r="U283" s="11">
        <f>R283*4</f>
        <v>41.6</v>
      </c>
      <c r="V283" s="12">
        <f>(2/3)*3.14*(U283/2)^3</f>
        <v>18837.722453333336</v>
      </c>
      <c r="W283" s="12">
        <f>V283/1000</f>
        <v>18.837722453333335</v>
      </c>
    </row>
    <row r="284" spans="1:23" x14ac:dyDescent="0.25">
      <c r="A284" s="7">
        <v>283</v>
      </c>
      <c r="B284" s="8" t="s">
        <v>317</v>
      </c>
      <c r="C284" s="8" t="s">
        <v>378</v>
      </c>
      <c r="D284" s="7" t="s">
        <v>319</v>
      </c>
      <c r="E284" s="8" t="s">
        <v>25</v>
      </c>
      <c r="F284" s="7">
        <v>-1700</v>
      </c>
      <c r="G284" s="7">
        <v>-1400</v>
      </c>
      <c r="H284" s="7">
        <f>(F284+G284)/2</f>
        <v>-1550</v>
      </c>
      <c r="I284" s="9">
        <v>4</v>
      </c>
      <c r="J284" s="10" t="s">
        <v>34</v>
      </c>
      <c r="K284" s="8" t="s">
        <v>157</v>
      </c>
      <c r="L284" s="8" t="s">
        <v>38</v>
      </c>
      <c r="M284" s="8"/>
      <c r="N284" s="8"/>
      <c r="O284" s="8" t="s">
        <v>44</v>
      </c>
      <c r="P284" s="11">
        <v>8.5</v>
      </c>
      <c r="Q284" s="11">
        <v>4.3</v>
      </c>
      <c r="R284" s="11">
        <v>8.5</v>
      </c>
      <c r="S284" s="11">
        <f>P284*4</f>
        <v>34</v>
      </c>
      <c r="T284" s="11">
        <f>Q284*4</f>
        <v>17.2</v>
      </c>
      <c r="U284" s="11">
        <f>R284*4</f>
        <v>34</v>
      </c>
      <c r="V284" s="12">
        <f>(2/3)*3.14*(U284/2)^3</f>
        <v>10284.546666666667</v>
      </c>
      <c r="W284" s="12">
        <f>V284/1000</f>
        <v>10.284546666666667</v>
      </c>
    </row>
    <row r="285" spans="1:23" x14ac:dyDescent="0.25">
      <c r="A285" s="7">
        <v>284</v>
      </c>
      <c r="B285" s="8" t="s">
        <v>317</v>
      </c>
      <c r="C285" s="8" t="s">
        <v>379</v>
      </c>
      <c r="D285" s="7" t="s">
        <v>319</v>
      </c>
      <c r="E285" s="8" t="s">
        <v>25</v>
      </c>
      <c r="F285" s="7">
        <v>-1700</v>
      </c>
      <c r="G285" s="7">
        <v>-1400</v>
      </c>
      <c r="H285" s="7">
        <f>(F285+G285)/2</f>
        <v>-1550</v>
      </c>
      <c r="I285" s="9">
        <v>4</v>
      </c>
      <c r="J285" s="10" t="s">
        <v>34</v>
      </c>
      <c r="K285" s="8" t="s">
        <v>157</v>
      </c>
      <c r="L285" s="8" t="s">
        <v>38</v>
      </c>
      <c r="M285" s="8"/>
      <c r="N285" s="8"/>
      <c r="O285" s="8" t="s">
        <v>44</v>
      </c>
      <c r="P285" s="11">
        <v>8.3000000000000007</v>
      </c>
      <c r="Q285" s="11">
        <v>5.8</v>
      </c>
      <c r="R285" s="11">
        <v>8.3000000000000007</v>
      </c>
      <c r="S285" s="11">
        <f>P285*4</f>
        <v>33.200000000000003</v>
      </c>
      <c r="T285" s="11">
        <f>Q285*4</f>
        <v>23.2</v>
      </c>
      <c r="U285" s="11">
        <f>R285*4</f>
        <v>33.200000000000003</v>
      </c>
      <c r="V285" s="12">
        <f>(2/3)*3.14*(U285/2)^3</f>
        <v>9575.5262933333361</v>
      </c>
      <c r="W285" s="12">
        <f>V285/1000</f>
        <v>9.5755262933333363</v>
      </c>
    </row>
    <row r="286" spans="1:23" x14ac:dyDescent="0.25">
      <c r="A286" s="7">
        <v>285</v>
      </c>
      <c r="B286" s="8" t="s">
        <v>317</v>
      </c>
      <c r="C286" s="8" t="s">
        <v>380</v>
      </c>
      <c r="D286" s="7" t="s">
        <v>319</v>
      </c>
      <c r="E286" s="8" t="s">
        <v>25</v>
      </c>
      <c r="F286" s="7">
        <v>-1700</v>
      </c>
      <c r="G286" s="7">
        <v>-1400</v>
      </c>
      <c r="H286" s="7">
        <f>(F286+G286)/2</f>
        <v>-1550</v>
      </c>
      <c r="I286" s="9">
        <v>1</v>
      </c>
      <c r="J286" s="10" t="s">
        <v>34</v>
      </c>
      <c r="K286" s="8" t="s">
        <v>261</v>
      </c>
      <c r="L286" s="8" t="s">
        <v>28</v>
      </c>
      <c r="M286" s="8"/>
      <c r="N286" s="8"/>
      <c r="O286" s="8" t="s">
        <v>44</v>
      </c>
      <c r="P286" s="11">
        <v>7.9</v>
      </c>
      <c r="Q286" s="11">
        <v>1.8</v>
      </c>
      <c r="R286" s="11">
        <v>7.9</v>
      </c>
      <c r="S286" s="11">
        <f>P286*4</f>
        <v>31.6</v>
      </c>
      <c r="T286" s="11">
        <f>Q286*4</f>
        <v>7.2</v>
      </c>
      <c r="U286" s="11">
        <f>R286*4</f>
        <v>31.6</v>
      </c>
      <c r="V286" s="12">
        <f>(1/3)*3.14*T286^2*(3*(U286/2)-T286)</f>
        <v>2181.2198400000002</v>
      </c>
      <c r="W286" s="12">
        <f>V286/1000</f>
        <v>2.1812198400000002</v>
      </c>
    </row>
    <row r="287" spans="1:23" x14ac:dyDescent="0.25">
      <c r="A287" s="7">
        <v>286</v>
      </c>
      <c r="B287" s="8" t="s">
        <v>317</v>
      </c>
      <c r="C287" s="8" t="s">
        <v>381</v>
      </c>
      <c r="D287" s="7" t="s">
        <v>319</v>
      </c>
      <c r="E287" s="8" t="s">
        <v>25</v>
      </c>
      <c r="F287" s="7">
        <v>-1700</v>
      </c>
      <c r="G287" s="7">
        <v>-1400</v>
      </c>
      <c r="H287" s="7">
        <f>(F287+G287)/2</f>
        <v>-1550</v>
      </c>
      <c r="I287" s="9">
        <v>1</v>
      </c>
      <c r="J287" s="10" t="s">
        <v>26</v>
      </c>
      <c r="K287" s="8" t="s">
        <v>27</v>
      </c>
      <c r="L287" s="8" t="s">
        <v>28</v>
      </c>
      <c r="M287" s="8"/>
      <c r="N287" s="8"/>
      <c r="O287" s="8" t="s">
        <v>44</v>
      </c>
      <c r="P287" s="11">
        <v>5.8</v>
      </c>
      <c r="Q287" s="11">
        <v>1.4</v>
      </c>
      <c r="R287" s="11">
        <v>5.8</v>
      </c>
      <c r="S287" s="11">
        <f>P287*4</f>
        <v>23.2</v>
      </c>
      <c r="T287" s="11">
        <f>Q287*4</f>
        <v>5.6</v>
      </c>
      <c r="U287" s="11">
        <f>R287*4</f>
        <v>23.2</v>
      </c>
      <c r="V287" s="12">
        <f>(1/3)*3.14*T287^2*(3*(U287/2)-T287)</f>
        <v>958.44522666666637</v>
      </c>
      <c r="W287" s="12">
        <f>V287/1000</f>
        <v>0.95844522666666632</v>
      </c>
    </row>
    <row r="288" spans="1:23" x14ac:dyDescent="0.25">
      <c r="A288" s="7">
        <v>287</v>
      </c>
      <c r="B288" s="8" t="s">
        <v>317</v>
      </c>
      <c r="C288" s="8" t="s">
        <v>382</v>
      </c>
      <c r="D288" s="7" t="s">
        <v>319</v>
      </c>
      <c r="E288" s="8" t="s">
        <v>25</v>
      </c>
      <c r="F288" s="7">
        <v>-1700</v>
      </c>
      <c r="G288" s="7">
        <v>-1400</v>
      </c>
      <c r="H288" s="7">
        <f>(F288+G288)/2</f>
        <v>-1550</v>
      </c>
      <c r="I288" s="9">
        <v>1</v>
      </c>
      <c r="J288" s="10" t="s">
        <v>26</v>
      </c>
      <c r="K288" s="8" t="s">
        <v>27</v>
      </c>
      <c r="L288" s="8" t="s">
        <v>28</v>
      </c>
      <c r="M288" s="8"/>
      <c r="N288" s="8"/>
      <c r="O288" s="8" t="s">
        <v>44</v>
      </c>
      <c r="P288" s="11">
        <v>6</v>
      </c>
      <c r="Q288" s="11">
        <v>1.6</v>
      </c>
      <c r="R288" s="11">
        <v>6</v>
      </c>
      <c r="S288" s="11">
        <f>P288*4</f>
        <v>24</v>
      </c>
      <c r="T288" s="11">
        <f>Q288*4</f>
        <v>6.4</v>
      </c>
      <c r="U288" s="11">
        <f>R288*4</f>
        <v>24</v>
      </c>
      <c r="V288" s="12">
        <f>(1/3)*3.14*T288^2*(3*(U288/2)-T288)</f>
        <v>1268.9954133333335</v>
      </c>
      <c r="W288" s="12">
        <f>V288/1000</f>
        <v>1.2689954133333337</v>
      </c>
    </row>
    <row r="289" spans="1:23" x14ac:dyDescent="0.25">
      <c r="A289" s="7">
        <v>288</v>
      </c>
      <c r="B289" s="8" t="s">
        <v>317</v>
      </c>
      <c r="C289" s="8" t="s">
        <v>383</v>
      </c>
      <c r="D289" s="7" t="s">
        <v>319</v>
      </c>
      <c r="E289" s="8" t="s">
        <v>25</v>
      </c>
      <c r="F289" s="7">
        <v>-1700</v>
      </c>
      <c r="G289" s="7">
        <v>-1400</v>
      </c>
      <c r="H289" s="7">
        <f>(F289+G289)/2</f>
        <v>-1550</v>
      </c>
      <c r="I289" s="9">
        <v>1</v>
      </c>
      <c r="J289" s="10" t="s">
        <v>32</v>
      </c>
      <c r="K289" s="8" t="s">
        <v>27</v>
      </c>
      <c r="L289" s="8" t="s">
        <v>28</v>
      </c>
      <c r="M289" s="8"/>
      <c r="N289" s="8"/>
      <c r="O289" s="8" t="s">
        <v>44</v>
      </c>
      <c r="P289" s="11">
        <v>9.1999999999999993</v>
      </c>
      <c r="Q289" s="11">
        <v>2.4</v>
      </c>
      <c r="R289" s="11">
        <v>9.1999999999999993</v>
      </c>
      <c r="S289" s="11">
        <f>P289*4</f>
        <v>36.799999999999997</v>
      </c>
      <c r="T289" s="11">
        <f>Q289*4</f>
        <v>9.6</v>
      </c>
      <c r="U289" s="11">
        <f>R289*4</f>
        <v>36.799999999999997</v>
      </c>
      <c r="V289" s="12">
        <f>(1/3)*3.14*T289^2*(3*(U289/2)-T289)</f>
        <v>4398.6124799999989</v>
      </c>
      <c r="W289" s="12">
        <f>V289/1000</f>
        <v>4.3986124799999988</v>
      </c>
    </row>
    <row r="290" spans="1:23" x14ac:dyDescent="0.25">
      <c r="A290" s="7">
        <v>289</v>
      </c>
      <c r="B290" s="8" t="s">
        <v>317</v>
      </c>
      <c r="C290" s="8" t="s">
        <v>384</v>
      </c>
      <c r="D290" s="7" t="s">
        <v>319</v>
      </c>
      <c r="E290" s="8" t="s">
        <v>25</v>
      </c>
      <c r="F290" s="7">
        <v>-1700</v>
      </c>
      <c r="G290" s="7">
        <v>-1400</v>
      </c>
      <c r="H290" s="7">
        <f>(F290+G290)/2</f>
        <v>-1550</v>
      </c>
      <c r="I290" s="9">
        <v>1</v>
      </c>
      <c r="J290" s="10" t="s">
        <v>26</v>
      </c>
      <c r="K290" s="8" t="s">
        <v>27</v>
      </c>
      <c r="L290" s="8" t="s">
        <v>28</v>
      </c>
      <c r="M290" s="8"/>
      <c r="N290" s="8"/>
      <c r="O290" s="8" t="s">
        <v>44</v>
      </c>
      <c r="P290" s="11">
        <v>5.0999999999999996</v>
      </c>
      <c r="Q290" s="11">
        <v>1.5</v>
      </c>
      <c r="R290" s="11">
        <v>5.0999999999999996</v>
      </c>
      <c r="S290" s="11">
        <f>P290*4</f>
        <v>20.399999999999999</v>
      </c>
      <c r="T290" s="11">
        <f>Q290*4</f>
        <v>6</v>
      </c>
      <c r="U290" s="11">
        <f>R290*4</f>
        <v>20.399999999999999</v>
      </c>
      <c r="V290" s="12">
        <f>(1/3)*3.14*T290^2*(3*(U290/2)-T290)</f>
        <v>926.92799999999988</v>
      </c>
      <c r="W290" s="12">
        <f>V290/1000</f>
        <v>0.92692799999999986</v>
      </c>
    </row>
    <row r="291" spans="1:23" x14ac:dyDescent="0.25">
      <c r="A291" s="7">
        <v>290</v>
      </c>
      <c r="B291" s="8" t="s">
        <v>317</v>
      </c>
      <c r="C291" s="8" t="s">
        <v>385</v>
      </c>
      <c r="D291" s="7" t="s">
        <v>319</v>
      </c>
      <c r="E291" s="8" t="s">
        <v>25</v>
      </c>
      <c r="F291" s="7">
        <v>-1700</v>
      </c>
      <c r="G291" s="7">
        <v>-1400</v>
      </c>
      <c r="H291" s="7">
        <f>(F291+G291)/2</f>
        <v>-1550</v>
      </c>
      <c r="I291" s="9">
        <v>1</v>
      </c>
      <c r="J291" s="10" t="s">
        <v>65</v>
      </c>
      <c r="K291" s="8" t="s">
        <v>27</v>
      </c>
      <c r="L291" s="8" t="s">
        <v>28</v>
      </c>
      <c r="M291" s="8"/>
      <c r="N291" s="8"/>
      <c r="O291" s="8" t="s">
        <v>44</v>
      </c>
      <c r="P291" s="11">
        <v>3.5</v>
      </c>
      <c r="Q291" s="11">
        <v>1.1000000000000001</v>
      </c>
      <c r="R291" s="11">
        <v>3.5</v>
      </c>
      <c r="S291" s="11">
        <f>P291*4</f>
        <v>14</v>
      </c>
      <c r="T291" s="11">
        <f>Q291*4</f>
        <v>4.4000000000000004</v>
      </c>
      <c r="U291" s="11">
        <f>R291*4</f>
        <v>14</v>
      </c>
      <c r="V291" s="12">
        <f>(1/3)*3.14*T291^2*(3*(U291/2)-T291)</f>
        <v>336.37354666666675</v>
      </c>
      <c r="W291" s="12">
        <f>V291/1000</f>
        <v>0.33637354666666675</v>
      </c>
    </row>
    <row r="292" spans="1:23" x14ac:dyDescent="0.25">
      <c r="A292" s="7">
        <v>291</v>
      </c>
      <c r="B292" s="8" t="s">
        <v>317</v>
      </c>
      <c r="C292" s="8" t="s">
        <v>386</v>
      </c>
      <c r="D292" s="7" t="s">
        <v>319</v>
      </c>
      <c r="E292" s="8" t="s">
        <v>25</v>
      </c>
      <c r="F292" s="7">
        <v>-1700</v>
      </c>
      <c r="G292" s="7">
        <v>-1400</v>
      </c>
      <c r="H292" s="7">
        <f>(F292+G292)/2</f>
        <v>-1550</v>
      </c>
      <c r="I292" s="9">
        <v>1</v>
      </c>
      <c r="J292" s="10" t="s">
        <v>26</v>
      </c>
      <c r="K292" s="8" t="s">
        <v>27</v>
      </c>
      <c r="L292" s="8" t="s">
        <v>28</v>
      </c>
      <c r="M292" s="8"/>
      <c r="N292" s="8"/>
      <c r="O292" s="8" t="s">
        <v>44</v>
      </c>
      <c r="P292" s="11">
        <v>4.5</v>
      </c>
      <c r="Q292" s="11">
        <v>1.4</v>
      </c>
      <c r="R292" s="11">
        <v>4.5</v>
      </c>
      <c r="S292" s="11">
        <f>P292*4</f>
        <v>18</v>
      </c>
      <c r="T292" s="11">
        <f>Q292*4</f>
        <v>5.6</v>
      </c>
      <c r="U292" s="11">
        <f>R292*4</f>
        <v>18</v>
      </c>
      <c r="V292" s="12">
        <f>(1/3)*3.14*T292^2*(3*(U292/2)-T292)</f>
        <v>702.42218666666645</v>
      </c>
      <c r="W292" s="12">
        <f>V292/1000</f>
        <v>0.70242218666666645</v>
      </c>
    </row>
    <row r="293" spans="1:23" x14ac:dyDescent="0.25">
      <c r="A293" s="7">
        <v>292</v>
      </c>
      <c r="B293" s="8" t="s">
        <v>317</v>
      </c>
      <c r="C293" s="8" t="s">
        <v>387</v>
      </c>
      <c r="D293" s="7" t="s">
        <v>319</v>
      </c>
      <c r="E293" s="8" t="s">
        <v>25</v>
      </c>
      <c r="F293" s="7">
        <v>-1700</v>
      </c>
      <c r="G293" s="7">
        <v>-1400</v>
      </c>
      <c r="H293" s="7">
        <f>(F293+G293)/2</f>
        <v>-1550</v>
      </c>
      <c r="I293" s="9">
        <v>1</v>
      </c>
      <c r="J293" s="10" t="s">
        <v>26</v>
      </c>
      <c r="K293" s="8" t="s">
        <v>27</v>
      </c>
      <c r="L293" s="8" t="s">
        <v>28</v>
      </c>
      <c r="M293" s="8"/>
      <c r="N293" s="8"/>
      <c r="O293" s="8" t="s">
        <v>44</v>
      </c>
      <c r="P293" s="11">
        <v>6.2</v>
      </c>
      <c r="Q293" s="11">
        <v>1.9</v>
      </c>
      <c r="R293" s="11">
        <v>6.2</v>
      </c>
      <c r="S293" s="11">
        <f>P293*4</f>
        <v>24.8</v>
      </c>
      <c r="T293" s="11">
        <f>Q293*4</f>
        <v>7.6</v>
      </c>
      <c r="U293" s="11">
        <f>R293*4</f>
        <v>24.8</v>
      </c>
      <c r="V293" s="12">
        <f>(1/3)*3.14*T293^2*(3*(U293/2)-T293)</f>
        <v>1789.4818133333333</v>
      </c>
      <c r="W293" s="12">
        <f>V293/1000</f>
        <v>1.7894818133333332</v>
      </c>
    </row>
    <row r="294" spans="1:23" x14ac:dyDescent="0.25">
      <c r="A294" s="7">
        <v>293</v>
      </c>
      <c r="B294" s="8" t="s">
        <v>317</v>
      </c>
      <c r="C294" s="8" t="s">
        <v>388</v>
      </c>
      <c r="D294" s="7" t="s">
        <v>319</v>
      </c>
      <c r="E294" s="8" t="s">
        <v>25</v>
      </c>
      <c r="F294" s="7">
        <v>-1700</v>
      </c>
      <c r="G294" s="7">
        <v>-1400</v>
      </c>
      <c r="H294" s="7">
        <f>(F294+G294)/2</f>
        <v>-1550</v>
      </c>
      <c r="I294" s="9">
        <v>1</v>
      </c>
      <c r="J294" s="10" t="s">
        <v>26</v>
      </c>
      <c r="K294" s="8" t="s">
        <v>157</v>
      </c>
      <c r="L294" s="8" t="s">
        <v>38</v>
      </c>
      <c r="M294" s="8"/>
      <c r="N294" s="8"/>
      <c r="O294" s="8" t="s">
        <v>44</v>
      </c>
      <c r="P294" s="11">
        <v>4.5</v>
      </c>
      <c r="Q294" s="11">
        <v>1.3</v>
      </c>
      <c r="R294" s="11">
        <v>4.5</v>
      </c>
      <c r="S294" s="11">
        <f>P294*4</f>
        <v>18</v>
      </c>
      <c r="T294" s="11">
        <f>Q294*4</f>
        <v>5.2</v>
      </c>
      <c r="U294" s="11">
        <f>R294*4</f>
        <v>18</v>
      </c>
      <c r="V294" s="12">
        <f>(1/3)*3.14*T294^2*(3*(U294/2)-T294)</f>
        <v>616.98069333333342</v>
      </c>
      <c r="W294" s="12">
        <f>V294/1000</f>
        <v>0.61698069333333339</v>
      </c>
    </row>
    <row r="295" spans="1:23" x14ac:dyDescent="0.25">
      <c r="A295" s="7">
        <v>294</v>
      </c>
      <c r="B295" s="8" t="s">
        <v>317</v>
      </c>
      <c r="C295" s="8" t="s">
        <v>389</v>
      </c>
      <c r="D295" s="7" t="s">
        <v>319</v>
      </c>
      <c r="E295" s="8" t="s">
        <v>25</v>
      </c>
      <c r="F295" s="7">
        <v>-1700</v>
      </c>
      <c r="G295" s="7">
        <v>-1400</v>
      </c>
      <c r="H295" s="7">
        <f>(F295+G295)/2</f>
        <v>-1550</v>
      </c>
      <c r="I295" s="9">
        <v>1</v>
      </c>
      <c r="J295" s="10" t="s">
        <v>34</v>
      </c>
      <c r="K295" s="8" t="s">
        <v>27</v>
      </c>
      <c r="L295" s="8" t="s">
        <v>28</v>
      </c>
      <c r="M295" s="8"/>
      <c r="N295" s="8"/>
      <c r="O295" s="8" t="s">
        <v>44</v>
      </c>
      <c r="P295" s="11">
        <v>8.5</v>
      </c>
      <c r="Q295" s="11">
        <v>1.2</v>
      </c>
      <c r="R295" s="11">
        <v>8.5</v>
      </c>
      <c r="S295" s="11">
        <f>P295*4</f>
        <v>34</v>
      </c>
      <c r="T295" s="11">
        <f>Q295*4</f>
        <v>4.8</v>
      </c>
      <c r="U295" s="11">
        <f>R295*4</f>
        <v>34</v>
      </c>
      <c r="V295" s="12">
        <f>(1/3)*3.14*T295^2*(3*(U295/2)-T295)</f>
        <v>1114.1222399999999</v>
      </c>
      <c r="W295" s="12">
        <f>V295/1000</f>
        <v>1.1141222399999999</v>
      </c>
    </row>
    <row r="296" spans="1:23" x14ac:dyDescent="0.25">
      <c r="A296" s="7">
        <v>295</v>
      </c>
      <c r="B296" s="8" t="s">
        <v>317</v>
      </c>
      <c r="C296" s="8" t="s">
        <v>390</v>
      </c>
      <c r="D296" s="7" t="s">
        <v>319</v>
      </c>
      <c r="E296" s="8" t="s">
        <v>25</v>
      </c>
      <c r="F296" s="7">
        <v>-1700</v>
      </c>
      <c r="G296" s="7">
        <v>-1400</v>
      </c>
      <c r="H296" s="7">
        <f>(F296+G296)/2</f>
        <v>-1550</v>
      </c>
      <c r="I296" s="9">
        <v>1</v>
      </c>
      <c r="J296" s="10" t="s">
        <v>26</v>
      </c>
      <c r="K296" s="8" t="s">
        <v>27</v>
      </c>
      <c r="L296" s="8" t="s">
        <v>28</v>
      </c>
      <c r="M296" s="8"/>
      <c r="N296" s="8"/>
      <c r="O296" s="8" t="s">
        <v>44</v>
      </c>
      <c r="P296" s="11">
        <v>5.2</v>
      </c>
      <c r="Q296" s="11">
        <v>1.2</v>
      </c>
      <c r="R296" s="11">
        <v>5.2</v>
      </c>
      <c r="S296" s="11">
        <f>P296*4</f>
        <v>20.8</v>
      </c>
      <c r="T296" s="11">
        <f>Q296*4</f>
        <v>4.8</v>
      </c>
      <c r="U296" s="11">
        <f>R296*4</f>
        <v>20.8</v>
      </c>
      <c r="V296" s="12">
        <f>(1/3)*3.14*T296^2*(3*(U296/2)-T296)</f>
        <v>636.64128000000005</v>
      </c>
      <c r="W296" s="12">
        <f>V296/1000</f>
        <v>0.63664128000000009</v>
      </c>
    </row>
    <row r="297" spans="1:23" x14ac:dyDescent="0.25">
      <c r="A297" s="7">
        <v>296</v>
      </c>
      <c r="B297" s="8" t="s">
        <v>317</v>
      </c>
      <c r="C297" s="8" t="s">
        <v>391</v>
      </c>
      <c r="D297" s="7" t="s">
        <v>319</v>
      </c>
      <c r="E297" s="8" t="s">
        <v>25</v>
      </c>
      <c r="F297" s="7">
        <v>-1700</v>
      </c>
      <c r="G297" s="7">
        <v>-1400</v>
      </c>
      <c r="H297" s="7">
        <f>(F297+G297)/2</f>
        <v>-1550</v>
      </c>
      <c r="I297" s="9">
        <v>1</v>
      </c>
      <c r="J297" s="10" t="s">
        <v>32</v>
      </c>
      <c r="K297" s="8" t="s">
        <v>27</v>
      </c>
      <c r="L297" s="8" t="s">
        <v>28</v>
      </c>
      <c r="M297" s="8"/>
      <c r="N297" s="8"/>
      <c r="O297" s="8" t="s">
        <v>44</v>
      </c>
      <c r="P297" s="11">
        <v>9.5</v>
      </c>
      <c r="Q297" s="11">
        <v>2.4</v>
      </c>
      <c r="R297" s="11">
        <v>9.5</v>
      </c>
      <c r="S297" s="11">
        <f>P297*4</f>
        <v>38</v>
      </c>
      <c r="T297" s="11">
        <f>Q297*4</f>
        <v>9.6</v>
      </c>
      <c r="U297" s="11">
        <f>R297*4</f>
        <v>38</v>
      </c>
      <c r="V297" s="12">
        <f>(1/3)*3.14*T297^2*(3*(U297/2)-T297)</f>
        <v>4572.2419199999995</v>
      </c>
      <c r="W297" s="12">
        <f>V297/1000</f>
        <v>4.5722419199999997</v>
      </c>
    </row>
    <row r="298" spans="1:23" x14ac:dyDescent="0.25">
      <c r="A298" s="7">
        <v>297</v>
      </c>
      <c r="B298" s="8" t="s">
        <v>317</v>
      </c>
      <c r="C298" s="8" t="s">
        <v>392</v>
      </c>
      <c r="D298" s="7" t="s">
        <v>319</v>
      </c>
      <c r="E298" s="8" t="s">
        <v>25</v>
      </c>
      <c r="F298" s="7">
        <v>-1700</v>
      </c>
      <c r="G298" s="7">
        <v>-1400</v>
      </c>
      <c r="H298" s="7">
        <f>(F298+G298)/2</f>
        <v>-1550</v>
      </c>
      <c r="I298" s="9">
        <v>1</v>
      </c>
      <c r="J298" s="10" t="s">
        <v>81</v>
      </c>
      <c r="K298" s="8" t="s">
        <v>137</v>
      </c>
      <c r="L298" s="8" t="s">
        <v>138</v>
      </c>
      <c r="M298" s="8"/>
      <c r="N298" s="8"/>
      <c r="O298" s="8" t="s">
        <v>44</v>
      </c>
      <c r="P298" s="11">
        <v>11.4</v>
      </c>
      <c r="Q298" s="11">
        <v>2.2999999999999998</v>
      </c>
      <c r="R298" s="11">
        <v>11.4</v>
      </c>
      <c r="S298" s="11">
        <f>P298*4</f>
        <v>45.6</v>
      </c>
      <c r="T298" s="11">
        <f>Q298*4</f>
        <v>9.1999999999999993</v>
      </c>
      <c r="U298" s="11">
        <f>R298*4</f>
        <v>45.6</v>
      </c>
      <c r="V298" s="12">
        <f>(1/3)*3.14*T298^2*(3*(U298/2)-T298)</f>
        <v>5244.5201066666659</v>
      </c>
      <c r="W298" s="12">
        <f>V298/1000</f>
        <v>5.2445201066666662</v>
      </c>
    </row>
    <row r="299" spans="1:23" x14ac:dyDescent="0.25">
      <c r="A299" s="7">
        <v>298</v>
      </c>
      <c r="B299" s="8" t="s">
        <v>317</v>
      </c>
      <c r="C299" s="8" t="s">
        <v>393</v>
      </c>
      <c r="D299" s="7" t="s">
        <v>319</v>
      </c>
      <c r="E299" s="8" t="s">
        <v>25</v>
      </c>
      <c r="F299" s="7">
        <v>-1700</v>
      </c>
      <c r="G299" s="7">
        <v>-1400</v>
      </c>
      <c r="H299" s="7">
        <f>(F299+G299)/2</f>
        <v>-1550</v>
      </c>
      <c r="I299" s="9">
        <v>1</v>
      </c>
      <c r="J299" s="10" t="s">
        <v>34</v>
      </c>
      <c r="K299" s="8" t="s">
        <v>137</v>
      </c>
      <c r="L299" s="8" t="s">
        <v>138</v>
      </c>
      <c r="M299" s="8"/>
      <c r="N299" s="8"/>
      <c r="O299" s="8" t="s">
        <v>44</v>
      </c>
      <c r="P299" s="11">
        <v>8</v>
      </c>
      <c r="Q299" s="11">
        <v>2.2000000000000002</v>
      </c>
      <c r="R299" s="11">
        <v>8</v>
      </c>
      <c r="S299" s="11">
        <f>P299*4</f>
        <v>32</v>
      </c>
      <c r="T299" s="11">
        <f>Q299*4</f>
        <v>8.8000000000000007</v>
      </c>
      <c r="U299" s="11">
        <f>R299*4</f>
        <v>32</v>
      </c>
      <c r="V299" s="12">
        <f>(1/3)*3.14*T299^2*(3*(U299/2)-T299)</f>
        <v>3177.3115733333339</v>
      </c>
      <c r="W299" s="12">
        <f>V299/1000</f>
        <v>3.1773115733333337</v>
      </c>
    </row>
    <row r="300" spans="1:23" x14ac:dyDescent="0.25">
      <c r="A300" s="7">
        <v>299</v>
      </c>
      <c r="B300" s="8" t="s">
        <v>317</v>
      </c>
      <c r="C300" s="8" t="s">
        <v>394</v>
      </c>
      <c r="D300" s="7" t="s">
        <v>319</v>
      </c>
      <c r="E300" s="8" t="s">
        <v>25</v>
      </c>
      <c r="F300" s="7">
        <v>-1700</v>
      </c>
      <c r="G300" s="7">
        <v>-1400</v>
      </c>
      <c r="H300" s="7">
        <f>(F300+G300)/2</f>
        <v>-1550</v>
      </c>
      <c r="I300" s="9">
        <v>1</v>
      </c>
      <c r="J300" s="10" t="s">
        <v>26</v>
      </c>
      <c r="K300" s="8" t="s">
        <v>157</v>
      </c>
      <c r="L300" s="8" t="s">
        <v>38</v>
      </c>
      <c r="M300" s="8"/>
      <c r="N300" s="8"/>
      <c r="O300" s="8" t="s">
        <v>44</v>
      </c>
      <c r="P300" s="11">
        <v>5.2</v>
      </c>
      <c r="Q300" s="11">
        <v>1.4</v>
      </c>
      <c r="R300" s="11">
        <v>5.2</v>
      </c>
      <c r="S300" s="11">
        <f>P300*4</f>
        <v>20.8</v>
      </c>
      <c r="T300" s="11">
        <f>Q300*4</f>
        <v>5.6</v>
      </c>
      <c r="U300" s="11">
        <f>R300*4</f>
        <v>20.8</v>
      </c>
      <c r="V300" s="12">
        <f>(1/3)*3.14*T300^2*(3*(U300/2)-T300)</f>
        <v>840.28074666666657</v>
      </c>
      <c r="W300" s="12">
        <f>V300/1000</f>
        <v>0.84028074666666652</v>
      </c>
    </row>
    <row r="301" spans="1:23" x14ac:dyDescent="0.25">
      <c r="A301" s="7">
        <v>300</v>
      </c>
      <c r="B301" s="8" t="s">
        <v>317</v>
      </c>
      <c r="C301" s="8" t="s">
        <v>395</v>
      </c>
      <c r="D301" s="7" t="s">
        <v>319</v>
      </c>
      <c r="E301" s="8" t="s">
        <v>25</v>
      </c>
      <c r="F301" s="7">
        <v>-1700</v>
      </c>
      <c r="G301" s="7">
        <v>-1400</v>
      </c>
      <c r="H301" s="7">
        <f>(F301+G301)/2</f>
        <v>-1550</v>
      </c>
      <c r="I301" s="9">
        <v>1</v>
      </c>
      <c r="J301" s="10" t="s">
        <v>34</v>
      </c>
      <c r="K301" s="8" t="s">
        <v>27</v>
      </c>
      <c r="L301" s="8" t="s">
        <v>28</v>
      </c>
      <c r="M301" s="8"/>
      <c r="N301" s="8"/>
      <c r="O301" s="8" t="s">
        <v>44</v>
      </c>
      <c r="P301" s="11">
        <v>7.5</v>
      </c>
      <c r="Q301" s="11">
        <v>1.9</v>
      </c>
      <c r="R301" s="11">
        <v>7.5</v>
      </c>
      <c r="S301" s="11">
        <f>P301*4</f>
        <v>30</v>
      </c>
      <c r="T301" s="11">
        <f>Q301*4</f>
        <v>7.6</v>
      </c>
      <c r="U301" s="11">
        <f>R301*4</f>
        <v>30</v>
      </c>
      <c r="V301" s="12">
        <f>(1/3)*3.14*T301^2*(3*(U301/2)-T301)</f>
        <v>2261.0344533333332</v>
      </c>
      <c r="W301" s="12">
        <f>V301/1000</f>
        <v>2.2610344533333331</v>
      </c>
    </row>
    <row r="302" spans="1:23" x14ac:dyDescent="0.25">
      <c r="A302" s="7">
        <v>301</v>
      </c>
      <c r="B302" s="8" t="s">
        <v>317</v>
      </c>
      <c r="C302" s="8" t="s">
        <v>396</v>
      </c>
      <c r="D302" s="7" t="s">
        <v>319</v>
      </c>
      <c r="E302" s="8" t="s">
        <v>25</v>
      </c>
      <c r="F302" s="7">
        <v>-1700</v>
      </c>
      <c r="G302" s="7">
        <v>-1400</v>
      </c>
      <c r="H302" s="7">
        <f>(F302+G302)/2</f>
        <v>-1550</v>
      </c>
      <c r="I302" s="9">
        <v>1</v>
      </c>
      <c r="J302" s="10" t="s">
        <v>34</v>
      </c>
      <c r="K302" s="8" t="s">
        <v>27</v>
      </c>
      <c r="L302" s="8" t="s">
        <v>28</v>
      </c>
      <c r="M302" s="8"/>
      <c r="N302" s="8"/>
      <c r="O302" s="8" t="s">
        <v>44</v>
      </c>
      <c r="P302" s="11">
        <v>7.4</v>
      </c>
      <c r="Q302" s="11">
        <v>1.7</v>
      </c>
      <c r="R302" s="11">
        <v>7.4</v>
      </c>
      <c r="S302" s="11">
        <f>P302*4</f>
        <v>29.6</v>
      </c>
      <c r="T302" s="11">
        <f>Q302*4</f>
        <v>6.8</v>
      </c>
      <c r="U302" s="11">
        <f>R302*4</f>
        <v>29.6</v>
      </c>
      <c r="V302" s="12">
        <f>(1/3)*3.14*T302^2*(3*(U302/2)-T302)</f>
        <v>1819.7597866666667</v>
      </c>
      <c r="W302" s="12">
        <f>V302/1000</f>
        <v>1.8197597866666668</v>
      </c>
    </row>
    <row r="303" spans="1:23" x14ac:dyDescent="0.25">
      <c r="A303" s="7">
        <v>302</v>
      </c>
      <c r="B303" s="8" t="s">
        <v>317</v>
      </c>
      <c r="C303" s="8" t="s">
        <v>397</v>
      </c>
      <c r="D303" s="7" t="s">
        <v>319</v>
      </c>
      <c r="E303" s="8" t="s">
        <v>25</v>
      </c>
      <c r="F303" s="7">
        <v>-1700</v>
      </c>
      <c r="G303" s="7">
        <v>-1400</v>
      </c>
      <c r="H303" s="7">
        <f>(F303+G303)/2</f>
        <v>-1550</v>
      </c>
      <c r="I303" s="9">
        <v>1</v>
      </c>
      <c r="J303" s="10" t="s">
        <v>26</v>
      </c>
      <c r="K303" s="8" t="s">
        <v>27</v>
      </c>
      <c r="L303" s="8" t="s">
        <v>28</v>
      </c>
      <c r="M303" s="8"/>
      <c r="N303" s="8"/>
      <c r="O303" s="8" t="s">
        <v>44</v>
      </c>
      <c r="P303" s="11">
        <v>5.5</v>
      </c>
      <c r="Q303" s="11">
        <v>1.3</v>
      </c>
      <c r="R303" s="11">
        <v>5.5</v>
      </c>
      <c r="S303" s="11">
        <f>P303*4</f>
        <v>22</v>
      </c>
      <c r="T303" s="11">
        <f>Q303*4</f>
        <v>5.2</v>
      </c>
      <c r="U303" s="11">
        <f>R303*4</f>
        <v>22</v>
      </c>
      <c r="V303" s="12">
        <f>(1/3)*3.14*T303^2*(3*(U303/2)-T303)</f>
        <v>786.79189333333341</v>
      </c>
      <c r="W303" s="12">
        <f>V303/1000</f>
        <v>0.78679189333333344</v>
      </c>
    </row>
    <row r="304" spans="1:23" x14ac:dyDescent="0.25">
      <c r="A304" s="7">
        <v>303</v>
      </c>
      <c r="B304" s="8" t="s">
        <v>317</v>
      </c>
      <c r="C304" s="8" t="s">
        <v>398</v>
      </c>
      <c r="D304" s="7" t="s">
        <v>319</v>
      </c>
      <c r="E304" s="8" t="s">
        <v>25</v>
      </c>
      <c r="F304" s="7">
        <v>-1700</v>
      </c>
      <c r="G304" s="7">
        <v>-1400</v>
      </c>
      <c r="H304" s="7">
        <f>(F304+G304)/2</f>
        <v>-1550</v>
      </c>
      <c r="I304" s="9">
        <v>1</v>
      </c>
      <c r="J304" s="10" t="s">
        <v>26</v>
      </c>
      <c r="K304" s="8" t="s">
        <v>27</v>
      </c>
      <c r="L304" s="8" t="s">
        <v>28</v>
      </c>
      <c r="M304" s="8"/>
      <c r="N304" s="8"/>
      <c r="O304" s="8" t="s">
        <v>44</v>
      </c>
      <c r="P304" s="11">
        <v>6.2</v>
      </c>
      <c r="Q304" s="11">
        <v>1.5</v>
      </c>
      <c r="R304" s="11">
        <v>6.2</v>
      </c>
      <c r="S304" s="11">
        <f>P304*4</f>
        <v>24.8</v>
      </c>
      <c r="T304" s="11">
        <f>Q304*4</f>
        <v>6</v>
      </c>
      <c r="U304" s="11">
        <f>R304*4</f>
        <v>24.8</v>
      </c>
      <c r="V304" s="12">
        <f>(1/3)*3.14*T304^2*(3*(U304/2)-T304)</f>
        <v>1175.616</v>
      </c>
      <c r="W304" s="12">
        <f>V304/1000</f>
        <v>1.175616</v>
      </c>
    </row>
    <row r="305" spans="1:23" x14ac:dyDescent="0.25">
      <c r="A305" s="7">
        <v>304</v>
      </c>
      <c r="B305" s="8" t="s">
        <v>317</v>
      </c>
      <c r="C305" s="8" t="s">
        <v>399</v>
      </c>
      <c r="D305" s="7" t="s">
        <v>319</v>
      </c>
      <c r="E305" s="8" t="s">
        <v>25</v>
      </c>
      <c r="F305" s="7">
        <v>-1700</v>
      </c>
      <c r="G305" s="7">
        <v>-1400</v>
      </c>
      <c r="H305" s="7">
        <f>(F305+G305)/2</f>
        <v>-1550</v>
      </c>
      <c r="I305" s="9">
        <v>1</v>
      </c>
      <c r="J305" s="10" t="s">
        <v>65</v>
      </c>
      <c r="K305" s="8" t="s">
        <v>27</v>
      </c>
      <c r="L305" s="8" t="s">
        <v>28</v>
      </c>
      <c r="M305" s="8"/>
      <c r="N305" s="8"/>
      <c r="O305" s="8" t="s">
        <v>44</v>
      </c>
      <c r="P305" s="11">
        <v>3</v>
      </c>
      <c r="Q305" s="11">
        <v>1.3</v>
      </c>
      <c r="R305" s="11">
        <v>3</v>
      </c>
      <c r="S305" s="11">
        <f>P305*4</f>
        <v>12</v>
      </c>
      <c r="T305" s="11">
        <f>Q305*4</f>
        <v>5.2</v>
      </c>
      <c r="U305" s="11">
        <f>R305*4</f>
        <v>12</v>
      </c>
      <c r="V305" s="12">
        <f>(1/3)*3.14*T305^2*(3*(U305/2)-T305)</f>
        <v>362.26389333333339</v>
      </c>
      <c r="W305" s="12">
        <f>V305/1000</f>
        <v>0.36226389333333336</v>
      </c>
    </row>
    <row r="306" spans="1:23" x14ac:dyDescent="0.25">
      <c r="A306" s="7">
        <v>305</v>
      </c>
      <c r="B306" s="8" t="s">
        <v>317</v>
      </c>
      <c r="C306" s="8" t="s">
        <v>400</v>
      </c>
      <c r="D306" s="7" t="s">
        <v>319</v>
      </c>
      <c r="E306" s="8" t="s">
        <v>25</v>
      </c>
      <c r="F306" s="7">
        <v>-1700</v>
      </c>
      <c r="G306" s="7">
        <v>-1400</v>
      </c>
      <c r="H306" s="7">
        <f>(F306+G306)/2</f>
        <v>-1550</v>
      </c>
      <c r="I306" s="9">
        <v>1</v>
      </c>
      <c r="J306" s="10" t="s">
        <v>65</v>
      </c>
      <c r="K306" s="8" t="s">
        <v>157</v>
      </c>
      <c r="L306" s="8" t="s">
        <v>38</v>
      </c>
      <c r="M306" s="8"/>
      <c r="N306" s="8"/>
      <c r="O306" s="8" t="s">
        <v>44</v>
      </c>
      <c r="P306" s="11">
        <v>3.5</v>
      </c>
      <c r="Q306" s="11">
        <v>1.2</v>
      </c>
      <c r="R306" s="11">
        <v>3.5</v>
      </c>
      <c r="S306" s="11">
        <f>P306*4</f>
        <v>14</v>
      </c>
      <c r="T306" s="11">
        <f>Q306*4</f>
        <v>4.8</v>
      </c>
      <c r="U306" s="11">
        <f>R306*4</f>
        <v>14</v>
      </c>
      <c r="V306" s="12">
        <f>(1/3)*3.14*T306^2*(3*(U306/2)-T306)</f>
        <v>390.66623999999996</v>
      </c>
      <c r="W306" s="12">
        <f>V306/1000</f>
        <v>0.39066623999999994</v>
      </c>
    </row>
    <row r="307" spans="1:23" x14ac:dyDescent="0.25">
      <c r="A307" s="7">
        <v>306</v>
      </c>
      <c r="B307" s="8" t="s">
        <v>401</v>
      </c>
      <c r="C307" s="8" t="s">
        <v>402</v>
      </c>
      <c r="D307" s="7" t="s">
        <v>403</v>
      </c>
      <c r="E307" s="8" t="s">
        <v>25</v>
      </c>
      <c r="F307" s="7">
        <v>-4230</v>
      </c>
      <c r="G307" s="7">
        <v>-3820</v>
      </c>
      <c r="H307" s="7">
        <f>(F307+G307)/2</f>
        <v>-4025</v>
      </c>
      <c r="I307" s="9">
        <v>4</v>
      </c>
      <c r="J307" s="10" t="s">
        <v>65</v>
      </c>
      <c r="K307" s="8" t="s">
        <v>27</v>
      </c>
      <c r="L307" s="8" t="s">
        <v>28</v>
      </c>
      <c r="M307" s="8"/>
      <c r="N307" s="8"/>
      <c r="O307" s="8" t="s">
        <v>44</v>
      </c>
      <c r="P307" s="11">
        <v>3.1</v>
      </c>
      <c r="Q307" s="11">
        <v>2.5</v>
      </c>
      <c r="R307" s="11">
        <v>3.1</v>
      </c>
      <c r="S307" s="11">
        <f>P307*4</f>
        <v>12.4</v>
      </c>
      <c r="T307" s="11">
        <f>Q307*4</f>
        <v>10</v>
      </c>
      <c r="U307" s="11">
        <f>R307*4</f>
        <v>12.4</v>
      </c>
      <c r="V307" s="12">
        <f>(2/3)*3.14*(U307/2)^3</f>
        <v>498.89994666666672</v>
      </c>
      <c r="W307" s="12">
        <f>V307/1000</f>
        <v>0.4988999466666667</v>
      </c>
    </row>
    <row r="308" spans="1:23" x14ac:dyDescent="0.25">
      <c r="A308" s="7">
        <v>307</v>
      </c>
      <c r="B308" s="8" t="s">
        <v>401</v>
      </c>
      <c r="C308" s="8" t="s">
        <v>404</v>
      </c>
      <c r="D308" s="7" t="s">
        <v>403</v>
      </c>
      <c r="E308" s="8" t="s">
        <v>25</v>
      </c>
      <c r="F308" s="7">
        <v>-4230</v>
      </c>
      <c r="G308" s="7">
        <v>-3820</v>
      </c>
      <c r="H308" s="7">
        <f>(F308+G308)/2</f>
        <v>-4025</v>
      </c>
      <c r="I308" s="9">
        <v>4</v>
      </c>
      <c r="J308" s="10" t="s">
        <v>26</v>
      </c>
      <c r="K308" s="8" t="s">
        <v>108</v>
      </c>
      <c r="L308" s="8" t="s">
        <v>109</v>
      </c>
      <c r="M308" s="8"/>
      <c r="N308" s="8"/>
      <c r="O308" s="8" t="s">
        <v>44</v>
      </c>
      <c r="P308" s="11">
        <v>4.5</v>
      </c>
      <c r="Q308" s="11">
        <v>2.9</v>
      </c>
      <c r="R308" s="11">
        <v>4.5</v>
      </c>
      <c r="S308" s="11">
        <f>P308*4</f>
        <v>18</v>
      </c>
      <c r="T308" s="11">
        <f>Q308*4</f>
        <v>11.6</v>
      </c>
      <c r="U308" s="11">
        <f>R308*4</f>
        <v>18</v>
      </c>
      <c r="V308" s="12">
        <f>(2/3)*3.14*(U308/2)^3</f>
        <v>1526.04</v>
      </c>
      <c r="W308" s="12">
        <f>V308/1000</f>
        <v>1.5260400000000001</v>
      </c>
    </row>
    <row r="309" spans="1:23" x14ac:dyDescent="0.25">
      <c r="A309" s="7">
        <v>308</v>
      </c>
      <c r="B309" s="8" t="s">
        <v>401</v>
      </c>
      <c r="C309" s="8" t="s">
        <v>405</v>
      </c>
      <c r="D309" s="7" t="s">
        <v>406</v>
      </c>
      <c r="E309" s="8" t="s">
        <v>51</v>
      </c>
      <c r="F309" s="7">
        <v>890</v>
      </c>
      <c r="G309" s="7">
        <v>1160</v>
      </c>
      <c r="H309" s="7">
        <f>(F309+G309)/2</f>
        <v>1025</v>
      </c>
      <c r="I309" s="9">
        <v>11</v>
      </c>
      <c r="J309" s="10" t="s">
        <v>81</v>
      </c>
      <c r="K309" s="8" t="s">
        <v>101</v>
      </c>
      <c r="L309" s="8" t="s">
        <v>101</v>
      </c>
      <c r="M309" s="8"/>
      <c r="N309" s="8"/>
      <c r="O309" s="8" t="s">
        <v>44</v>
      </c>
      <c r="P309" s="11">
        <v>8.1999999999999993</v>
      </c>
      <c r="Q309" s="11">
        <v>17.600000000000001</v>
      </c>
      <c r="R309" s="11">
        <v>16.5</v>
      </c>
      <c r="S309" s="11">
        <f>P309*4</f>
        <v>32.799999999999997</v>
      </c>
      <c r="T309" s="11">
        <f>Q309*4</f>
        <v>70.400000000000006</v>
      </c>
      <c r="U309" s="11">
        <f>R309*4</f>
        <v>66</v>
      </c>
      <c r="V309" s="12">
        <f>4/3*3.14*U309^2*T309</f>
        <v>1283893.2480000001</v>
      </c>
      <c r="W309" s="12">
        <f>V309/1000</f>
        <v>1283.8932480000001</v>
      </c>
    </row>
    <row r="310" spans="1:23" x14ac:dyDescent="0.25">
      <c r="A310" s="7">
        <v>309</v>
      </c>
      <c r="B310" s="8" t="s">
        <v>401</v>
      </c>
      <c r="C310" s="8" t="s">
        <v>407</v>
      </c>
      <c r="D310" s="7" t="s">
        <v>406</v>
      </c>
      <c r="E310" s="8" t="s">
        <v>51</v>
      </c>
      <c r="F310" s="7">
        <v>890</v>
      </c>
      <c r="G310" s="7">
        <v>1160</v>
      </c>
      <c r="H310" s="7">
        <f>(F310+G310)/2</f>
        <v>1025</v>
      </c>
      <c r="I310" s="9">
        <v>10</v>
      </c>
      <c r="J310" s="10" t="s">
        <v>34</v>
      </c>
      <c r="K310" s="8" t="s">
        <v>108</v>
      </c>
      <c r="L310" s="8" t="s">
        <v>109</v>
      </c>
      <c r="M310" s="8"/>
      <c r="N310" s="8"/>
      <c r="O310" s="8" t="s">
        <v>44</v>
      </c>
      <c r="P310" s="11">
        <v>5.2</v>
      </c>
      <c r="Q310" s="11">
        <v>7.5</v>
      </c>
      <c r="R310" s="11">
        <v>7.3</v>
      </c>
      <c r="S310" s="11">
        <f>P310*4</f>
        <v>20.8</v>
      </c>
      <c r="T310" s="11">
        <f>Q310*4</f>
        <v>30</v>
      </c>
      <c r="U310" s="11">
        <f>R310*4</f>
        <v>29.2</v>
      </c>
      <c r="V310" s="12">
        <f>4/3*3.14*U310^2*T310</f>
        <v>107091.58399999999</v>
      </c>
      <c r="W310" s="12">
        <f>V310/1000</f>
        <v>107.09158399999998</v>
      </c>
    </row>
    <row r="311" spans="1:23" x14ac:dyDescent="0.25">
      <c r="A311" s="7">
        <v>310</v>
      </c>
      <c r="B311" s="8" t="s">
        <v>408</v>
      </c>
      <c r="C311" s="8" t="s">
        <v>409</v>
      </c>
      <c r="D311" s="7" t="s">
        <v>410</v>
      </c>
      <c r="E311" s="8" t="s">
        <v>51</v>
      </c>
      <c r="F311" s="7">
        <v>890</v>
      </c>
      <c r="G311" s="7">
        <v>1160</v>
      </c>
      <c r="H311" s="7">
        <f>(F311+G311)/2</f>
        <v>1025</v>
      </c>
      <c r="I311" s="9">
        <v>5</v>
      </c>
      <c r="J311" s="10" t="s">
        <v>65</v>
      </c>
      <c r="K311" s="8" t="s">
        <v>42</v>
      </c>
      <c r="L311" s="8" t="s">
        <v>43</v>
      </c>
      <c r="M311" s="8" t="s">
        <v>39</v>
      </c>
      <c r="N311" s="8"/>
      <c r="O311" s="8" t="s">
        <v>71</v>
      </c>
      <c r="P311" s="11">
        <v>1.7</v>
      </c>
      <c r="Q311" s="11">
        <v>2</v>
      </c>
      <c r="R311" s="11">
        <v>1.9</v>
      </c>
      <c r="S311" s="11">
        <f>P311*4</f>
        <v>6.8</v>
      </c>
      <c r="T311" s="11">
        <f>Q311*4</f>
        <v>8</v>
      </c>
      <c r="U311" s="11">
        <f>R311*4</f>
        <v>7.6</v>
      </c>
      <c r="V311" s="12">
        <f>(4/3)*3.14*(U311/2)^3</f>
        <v>229.7307733333333</v>
      </c>
      <c r="W311" s="12">
        <f>V311/1000</f>
        <v>0.2297307733333333</v>
      </c>
    </row>
    <row r="312" spans="1:23" x14ac:dyDescent="0.25">
      <c r="A312" s="7">
        <v>311</v>
      </c>
      <c r="B312" s="8" t="s">
        <v>408</v>
      </c>
      <c r="C312" s="8" t="s">
        <v>411</v>
      </c>
      <c r="D312" s="7" t="s">
        <v>410</v>
      </c>
      <c r="E312" s="8" t="s">
        <v>51</v>
      </c>
      <c r="F312" s="7">
        <v>890</v>
      </c>
      <c r="G312" s="7">
        <v>1160</v>
      </c>
      <c r="H312" s="7">
        <f>(F312+G312)/2</f>
        <v>1025</v>
      </c>
      <c r="I312" s="9">
        <v>5</v>
      </c>
      <c r="J312" s="10" t="s">
        <v>65</v>
      </c>
      <c r="K312" s="8" t="s">
        <v>42</v>
      </c>
      <c r="L312" s="8" t="s">
        <v>43</v>
      </c>
      <c r="M312" s="8" t="s">
        <v>39</v>
      </c>
      <c r="N312" s="8"/>
      <c r="O312" s="8" t="s">
        <v>71</v>
      </c>
      <c r="P312" s="11">
        <v>2.4</v>
      </c>
      <c r="Q312" s="11">
        <v>3.1</v>
      </c>
      <c r="R312" s="11">
        <v>2.9</v>
      </c>
      <c r="S312" s="11">
        <f>P312*4</f>
        <v>9.6</v>
      </c>
      <c r="T312" s="11">
        <f>Q312*4</f>
        <v>12.4</v>
      </c>
      <c r="U312" s="11">
        <f>R312*4</f>
        <v>11.6</v>
      </c>
      <c r="V312" s="12">
        <f>(4/3)*3.14*(U312/2)^3</f>
        <v>816.86890666666659</v>
      </c>
      <c r="W312" s="12">
        <f>V312/1000</f>
        <v>0.81686890666666656</v>
      </c>
    </row>
    <row r="313" spans="1:23" x14ac:dyDescent="0.25">
      <c r="A313" s="7">
        <v>312</v>
      </c>
      <c r="B313" s="8" t="s">
        <v>408</v>
      </c>
      <c r="C313" s="8" t="s">
        <v>412</v>
      </c>
      <c r="D313" s="7" t="s">
        <v>413</v>
      </c>
      <c r="E313" s="8" t="s">
        <v>51</v>
      </c>
      <c r="F313" s="7">
        <v>1000</v>
      </c>
      <c r="G313" s="7">
        <v>1300</v>
      </c>
      <c r="H313" s="7">
        <f>(F313+G313)/2</f>
        <v>1150</v>
      </c>
      <c r="I313" s="9">
        <v>6</v>
      </c>
      <c r="J313" s="10" t="s">
        <v>34</v>
      </c>
      <c r="K313" s="8" t="s">
        <v>291</v>
      </c>
      <c r="L313" s="8" t="s">
        <v>109</v>
      </c>
      <c r="M313" s="8" t="s">
        <v>39</v>
      </c>
      <c r="N313" s="8"/>
      <c r="O313" s="8" t="s">
        <v>71</v>
      </c>
      <c r="P313" s="11">
        <v>1.8</v>
      </c>
      <c r="Q313" s="11">
        <v>8</v>
      </c>
      <c r="R313" s="11">
        <v>6.3</v>
      </c>
      <c r="S313" s="11">
        <f>P313*4</f>
        <v>7.2</v>
      </c>
      <c r="T313" s="11">
        <f>Q313*4</f>
        <v>32</v>
      </c>
      <c r="U313" s="11">
        <f>R313*4</f>
        <v>25.2</v>
      </c>
      <c r="V313" s="12">
        <f>(4/3)*3.14*(U313/2)^3</f>
        <v>8374.9075199999988</v>
      </c>
      <c r="W313" s="12">
        <f>V313/1000</f>
        <v>8.3749075199999989</v>
      </c>
    </row>
    <row r="314" spans="1:23" x14ac:dyDescent="0.25">
      <c r="A314" s="7">
        <v>313</v>
      </c>
      <c r="B314" s="8" t="s">
        <v>408</v>
      </c>
      <c r="C314" s="8" t="s">
        <v>414</v>
      </c>
      <c r="D314" s="7" t="s">
        <v>413</v>
      </c>
      <c r="E314" s="8" t="s">
        <v>51</v>
      </c>
      <c r="F314" s="7">
        <v>1000</v>
      </c>
      <c r="G314" s="7">
        <v>1300</v>
      </c>
      <c r="H314" s="7">
        <f>(F314+G314)/2</f>
        <v>1150</v>
      </c>
      <c r="I314" s="9">
        <v>13</v>
      </c>
      <c r="J314" s="10" t="s">
        <v>65</v>
      </c>
      <c r="K314" s="8" t="s">
        <v>27</v>
      </c>
      <c r="L314" s="8" t="s">
        <v>28</v>
      </c>
      <c r="M314" s="8" t="s">
        <v>315</v>
      </c>
      <c r="N314" s="8"/>
      <c r="O314" s="8" t="s">
        <v>71</v>
      </c>
      <c r="P314" s="11">
        <v>1.5</v>
      </c>
      <c r="Q314" s="11">
        <v>5.2</v>
      </c>
      <c r="R314" s="11">
        <v>3.3</v>
      </c>
      <c r="S314" s="11">
        <f>P314*4</f>
        <v>6</v>
      </c>
      <c r="T314" s="11">
        <f>Q314*4</f>
        <v>20.8</v>
      </c>
      <c r="U314" s="11">
        <f>R314*4</f>
        <v>13.2</v>
      </c>
      <c r="V314" s="12"/>
      <c r="W314" s="12">
        <f>V314/1000</f>
        <v>0</v>
      </c>
    </row>
    <row r="315" spans="1:23" x14ac:dyDescent="0.25">
      <c r="A315" s="7">
        <v>314</v>
      </c>
      <c r="B315" s="8" t="s">
        <v>408</v>
      </c>
      <c r="C315" s="8" t="s">
        <v>415</v>
      </c>
      <c r="D315" s="7" t="s">
        <v>413</v>
      </c>
      <c r="E315" s="8" t="s">
        <v>51</v>
      </c>
      <c r="F315" s="7">
        <v>1000</v>
      </c>
      <c r="G315" s="7">
        <v>1300</v>
      </c>
      <c r="H315" s="7">
        <f>(F315+G315)/2</f>
        <v>1150</v>
      </c>
      <c r="I315" s="9">
        <v>11</v>
      </c>
      <c r="J315" s="10" t="s">
        <v>65</v>
      </c>
      <c r="K315" s="8" t="s">
        <v>68</v>
      </c>
      <c r="L315" s="8" t="s">
        <v>28</v>
      </c>
      <c r="M315" s="8" t="s">
        <v>39</v>
      </c>
      <c r="N315" s="8"/>
      <c r="O315" s="8" t="s">
        <v>71</v>
      </c>
      <c r="P315" s="11">
        <v>1.2</v>
      </c>
      <c r="Q315" s="11">
        <v>5.2</v>
      </c>
      <c r="R315" s="11">
        <v>3.6</v>
      </c>
      <c r="S315" s="11">
        <f>P315*4</f>
        <v>4.8</v>
      </c>
      <c r="T315" s="11">
        <f>Q315*4</f>
        <v>20.8</v>
      </c>
      <c r="U315" s="11">
        <f>R315*4</f>
        <v>14.4</v>
      </c>
      <c r="V315" s="12">
        <f>4/3*3.14*U315^2*T315</f>
        <v>18057.461760000002</v>
      </c>
      <c r="W315" s="12">
        <f>V315/1000</f>
        <v>18.057461760000002</v>
      </c>
    </row>
    <row r="316" spans="1:23" x14ac:dyDescent="0.25">
      <c r="A316" s="7">
        <v>315</v>
      </c>
      <c r="B316" s="8" t="s">
        <v>408</v>
      </c>
      <c r="C316" s="8" t="s">
        <v>416</v>
      </c>
      <c r="D316" s="7" t="s">
        <v>417</v>
      </c>
      <c r="E316" s="8" t="s">
        <v>51</v>
      </c>
      <c r="F316" s="7">
        <v>850</v>
      </c>
      <c r="G316" s="7">
        <v>1050</v>
      </c>
      <c r="H316" s="7">
        <f>(F316+G316)/2</f>
        <v>950</v>
      </c>
      <c r="I316" s="9">
        <v>11</v>
      </c>
      <c r="J316" s="10" t="s">
        <v>34</v>
      </c>
      <c r="K316" s="8" t="s">
        <v>42</v>
      </c>
      <c r="L316" s="8" t="s">
        <v>43</v>
      </c>
      <c r="M316" s="8" t="s">
        <v>39</v>
      </c>
      <c r="N316" s="8"/>
      <c r="O316" s="8" t="s">
        <v>71</v>
      </c>
      <c r="P316" s="11">
        <v>1.5</v>
      </c>
      <c r="Q316" s="11">
        <v>10.4</v>
      </c>
      <c r="R316" s="11">
        <v>6.6</v>
      </c>
      <c r="S316" s="11">
        <f>P316*4</f>
        <v>6</v>
      </c>
      <c r="T316" s="11">
        <f>Q316*4</f>
        <v>41.6</v>
      </c>
      <c r="U316" s="11">
        <f>R316*4</f>
        <v>26.4</v>
      </c>
      <c r="V316" s="12">
        <f>4/3*3.14*U316^2*T316</f>
        <v>121386.27072</v>
      </c>
      <c r="W316" s="12">
        <f>V316/1000</f>
        <v>121.38627072</v>
      </c>
    </row>
    <row r="317" spans="1:23" x14ac:dyDescent="0.25">
      <c r="A317" s="7">
        <v>316</v>
      </c>
      <c r="B317" s="8" t="s">
        <v>408</v>
      </c>
      <c r="C317" s="8" t="s">
        <v>418</v>
      </c>
      <c r="D317" s="7" t="s">
        <v>410</v>
      </c>
      <c r="E317" s="8" t="s">
        <v>51</v>
      </c>
      <c r="F317" s="7">
        <v>850</v>
      </c>
      <c r="G317" s="7">
        <v>1300</v>
      </c>
      <c r="H317" s="7">
        <f>(F317+G317)/2</f>
        <v>1075</v>
      </c>
      <c r="I317" s="9">
        <v>4</v>
      </c>
      <c r="J317" s="10" t="s">
        <v>26</v>
      </c>
      <c r="K317" s="8" t="s">
        <v>27</v>
      </c>
      <c r="L317" s="8" t="s">
        <v>28</v>
      </c>
      <c r="M317" s="8" t="s">
        <v>39</v>
      </c>
      <c r="N317" s="8"/>
      <c r="O317" s="8" t="s">
        <v>71</v>
      </c>
      <c r="P317" s="11">
        <v>4.9000000000000004</v>
      </c>
      <c r="Q317" s="11">
        <v>2.5</v>
      </c>
      <c r="R317" s="11">
        <v>4.9000000000000004</v>
      </c>
      <c r="S317" s="11">
        <f>P317*4</f>
        <v>19.600000000000001</v>
      </c>
      <c r="T317" s="11">
        <f>Q317*4</f>
        <v>10</v>
      </c>
      <c r="U317" s="11">
        <f>R317*4</f>
        <v>19.600000000000001</v>
      </c>
      <c r="V317" s="12">
        <f>(2/3)*3.14*(U317/2)^3</f>
        <v>1970.2285866666671</v>
      </c>
      <c r="W317" s="12">
        <f>V317/1000</f>
        <v>1.9702285866666671</v>
      </c>
    </row>
    <row r="318" spans="1:23" x14ac:dyDescent="0.25">
      <c r="A318" s="7">
        <v>317</v>
      </c>
      <c r="B318" s="8" t="s">
        <v>408</v>
      </c>
      <c r="C318" s="8" t="s">
        <v>419</v>
      </c>
      <c r="D318" s="7" t="s">
        <v>410</v>
      </c>
      <c r="E318" s="8" t="s">
        <v>51</v>
      </c>
      <c r="F318" s="7">
        <v>850</v>
      </c>
      <c r="G318" s="7">
        <v>1300</v>
      </c>
      <c r="H318" s="7">
        <f>(F318+G318)/2</f>
        <v>1075</v>
      </c>
      <c r="I318" s="9">
        <v>4</v>
      </c>
      <c r="J318" s="10" t="s">
        <v>26</v>
      </c>
      <c r="K318" s="8" t="s">
        <v>27</v>
      </c>
      <c r="L318" s="8" t="s">
        <v>28</v>
      </c>
      <c r="M318" s="8" t="s">
        <v>39</v>
      </c>
      <c r="N318" s="8"/>
      <c r="O318" s="8" t="s">
        <v>71</v>
      </c>
      <c r="P318" s="11">
        <v>4</v>
      </c>
      <c r="Q318" s="11">
        <v>2.6</v>
      </c>
      <c r="R318" s="11">
        <v>4</v>
      </c>
      <c r="S318" s="11">
        <f>P318*4</f>
        <v>16</v>
      </c>
      <c r="T318" s="11">
        <f>Q318*4</f>
        <v>10.4</v>
      </c>
      <c r="U318" s="11">
        <f>R318*4</f>
        <v>16</v>
      </c>
      <c r="V318" s="12">
        <f>(2/3)*3.14*(U318/2)^3</f>
        <v>1071.7866666666666</v>
      </c>
      <c r="W318" s="12">
        <f>V318/1000</f>
        <v>1.0717866666666667</v>
      </c>
    </row>
    <row r="319" spans="1:23" x14ac:dyDescent="0.25">
      <c r="A319" s="7">
        <v>318</v>
      </c>
      <c r="B319" s="8" t="s">
        <v>408</v>
      </c>
      <c r="C319" s="8" t="s">
        <v>420</v>
      </c>
      <c r="D319" s="7" t="s">
        <v>410</v>
      </c>
      <c r="E319" s="8" t="s">
        <v>51</v>
      </c>
      <c r="F319" s="7">
        <v>850</v>
      </c>
      <c r="G319" s="7">
        <v>1300</v>
      </c>
      <c r="H319" s="7">
        <f>(F319+G319)/2</f>
        <v>1075</v>
      </c>
      <c r="I319" s="9">
        <v>2</v>
      </c>
      <c r="J319" s="10" t="s">
        <v>65</v>
      </c>
      <c r="K319" s="8" t="s">
        <v>68</v>
      </c>
      <c r="L319" s="8" t="s">
        <v>28</v>
      </c>
      <c r="M319" s="8" t="s">
        <v>39</v>
      </c>
      <c r="N319" s="8"/>
      <c r="O319" s="8" t="s">
        <v>71</v>
      </c>
      <c r="P319" s="11">
        <v>3</v>
      </c>
      <c r="Q319" s="11">
        <v>1.5</v>
      </c>
      <c r="R319" s="11">
        <v>3</v>
      </c>
      <c r="S319" s="11">
        <f>P319*4</f>
        <v>12</v>
      </c>
      <c r="T319" s="11">
        <f>Q319*4</f>
        <v>6</v>
      </c>
      <c r="U319" s="11">
        <f>R319*4</f>
        <v>12</v>
      </c>
      <c r="V319" s="12">
        <f>(1/3)*3.14*T319^2*(3*(U319/2)-T319)</f>
        <v>452.15999999999997</v>
      </c>
      <c r="W319" s="12">
        <f>V319/1000</f>
        <v>0.45215999999999995</v>
      </c>
    </row>
    <row r="320" spans="1:23" x14ac:dyDescent="0.25">
      <c r="A320" s="7">
        <v>319</v>
      </c>
      <c r="B320" s="8" t="s">
        <v>408</v>
      </c>
      <c r="C320" s="8" t="s">
        <v>421</v>
      </c>
      <c r="D320" s="7" t="s">
        <v>410</v>
      </c>
      <c r="E320" s="8" t="s">
        <v>51</v>
      </c>
      <c r="F320" s="7">
        <v>850</v>
      </c>
      <c r="G320" s="7">
        <v>1300</v>
      </c>
      <c r="H320" s="7">
        <f>(F320+G320)/2</f>
        <v>1075</v>
      </c>
      <c r="I320" s="9">
        <v>5</v>
      </c>
      <c r="J320" s="10" t="s">
        <v>26</v>
      </c>
      <c r="K320" s="8" t="s">
        <v>68</v>
      </c>
      <c r="L320" s="8" t="s">
        <v>28</v>
      </c>
      <c r="M320" s="8" t="s">
        <v>39</v>
      </c>
      <c r="N320" s="8"/>
      <c r="O320" s="8" t="s">
        <v>71</v>
      </c>
      <c r="P320" s="11">
        <v>3.6</v>
      </c>
      <c r="Q320" s="11">
        <v>2.9</v>
      </c>
      <c r="R320" s="11">
        <v>4</v>
      </c>
      <c r="S320" s="11">
        <f>P320*4</f>
        <v>14.4</v>
      </c>
      <c r="T320" s="11">
        <f>Q320*4</f>
        <v>11.6</v>
      </c>
      <c r="U320" s="11">
        <f>R320*4</f>
        <v>16</v>
      </c>
      <c r="V320" s="12">
        <f>(4/3)*3.14*(U320/2)^3</f>
        <v>2143.5733333333333</v>
      </c>
      <c r="W320" s="12">
        <f>V320/1000</f>
        <v>2.1435733333333333</v>
      </c>
    </row>
    <row r="321" spans="1:23" x14ac:dyDescent="0.25">
      <c r="A321" s="7">
        <v>320</v>
      </c>
      <c r="B321" s="8" t="s">
        <v>408</v>
      </c>
      <c r="C321" s="8" t="s">
        <v>422</v>
      </c>
      <c r="D321" s="7" t="s">
        <v>410</v>
      </c>
      <c r="E321" s="8" t="s">
        <v>51</v>
      </c>
      <c r="F321" s="7">
        <v>850</v>
      </c>
      <c r="G321" s="7">
        <v>1300</v>
      </c>
      <c r="H321" s="7">
        <f>(F321+G321)/2</f>
        <v>1075</v>
      </c>
      <c r="I321" s="9">
        <v>4</v>
      </c>
      <c r="J321" s="10" t="s">
        <v>65</v>
      </c>
      <c r="K321" s="8" t="s">
        <v>68</v>
      </c>
      <c r="L321" s="8" t="s">
        <v>28</v>
      </c>
      <c r="M321" s="8" t="s">
        <v>132</v>
      </c>
      <c r="N321" s="8"/>
      <c r="O321" s="8" t="s">
        <v>71</v>
      </c>
      <c r="P321" s="11">
        <v>2.2000000000000002</v>
      </c>
      <c r="Q321" s="11">
        <v>2.1</v>
      </c>
      <c r="R321" s="11">
        <v>2.4</v>
      </c>
      <c r="S321" s="11">
        <f>P321*4</f>
        <v>8.8000000000000007</v>
      </c>
      <c r="T321" s="11">
        <f>Q321*4</f>
        <v>8.4</v>
      </c>
      <c r="U321" s="11">
        <f>R321*4</f>
        <v>9.6</v>
      </c>
      <c r="V321" s="12">
        <f>(2/3)*3.14*(U321/2)^3</f>
        <v>231.50592</v>
      </c>
      <c r="W321" s="12">
        <f>V321/1000</f>
        <v>0.23150592</v>
      </c>
    </row>
    <row r="322" spans="1:23" x14ac:dyDescent="0.25">
      <c r="A322" s="7">
        <v>321</v>
      </c>
      <c r="B322" s="8" t="s">
        <v>408</v>
      </c>
      <c r="C322" s="8" t="s">
        <v>423</v>
      </c>
      <c r="D322" s="7" t="s">
        <v>410</v>
      </c>
      <c r="E322" s="8" t="s">
        <v>51</v>
      </c>
      <c r="F322" s="7">
        <v>850</v>
      </c>
      <c r="G322" s="7">
        <v>1300</v>
      </c>
      <c r="H322" s="7">
        <f>(F322+G322)/2</f>
        <v>1075</v>
      </c>
      <c r="I322" s="9">
        <v>4</v>
      </c>
      <c r="J322" s="10" t="s">
        <v>65</v>
      </c>
      <c r="K322" s="8" t="s">
        <v>108</v>
      </c>
      <c r="L322" s="8" t="s">
        <v>109</v>
      </c>
      <c r="M322" s="8" t="s">
        <v>140</v>
      </c>
      <c r="N322" s="8"/>
      <c r="O322" s="8" t="s">
        <v>71</v>
      </c>
      <c r="P322" s="11">
        <v>2</v>
      </c>
      <c r="Q322" s="11">
        <v>1.2</v>
      </c>
      <c r="R322" s="11">
        <v>2</v>
      </c>
      <c r="S322" s="11">
        <f>P322*4</f>
        <v>8</v>
      </c>
      <c r="T322" s="11">
        <f>Q322*4</f>
        <v>4.8</v>
      </c>
      <c r="U322" s="11">
        <f>R322*4</f>
        <v>8</v>
      </c>
      <c r="V322" s="12">
        <f>(2/3)*3.14*(U322/2)^3</f>
        <v>133.97333333333333</v>
      </c>
      <c r="W322" s="12">
        <f>V322/1000</f>
        <v>0.13397333333333333</v>
      </c>
    </row>
    <row r="323" spans="1:23" x14ac:dyDescent="0.25">
      <c r="A323" s="7">
        <v>322</v>
      </c>
      <c r="B323" s="8" t="s">
        <v>408</v>
      </c>
      <c r="C323" s="8" t="s">
        <v>424</v>
      </c>
      <c r="D323" s="7" t="s">
        <v>425</v>
      </c>
      <c r="E323" s="8" t="s">
        <v>51</v>
      </c>
      <c r="F323" s="7">
        <v>1050</v>
      </c>
      <c r="G323" s="7">
        <v>1300</v>
      </c>
      <c r="H323" s="7">
        <f>(F323+G323)/2</f>
        <v>1175</v>
      </c>
      <c r="I323" s="9">
        <v>9</v>
      </c>
      <c r="J323" s="10" t="s">
        <v>65</v>
      </c>
      <c r="K323" s="8" t="s">
        <v>27</v>
      </c>
      <c r="L323" s="8" t="s">
        <v>28</v>
      </c>
      <c r="M323" s="8" t="s">
        <v>39</v>
      </c>
      <c r="N323" s="8"/>
      <c r="O323" s="8" t="s">
        <v>71</v>
      </c>
      <c r="P323" s="11">
        <v>1.8</v>
      </c>
      <c r="Q323" s="11">
        <v>2.2000000000000002</v>
      </c>
      <c r="R323" s="11">
        <v>1.8</v>
      </c>
      <c r="S323" s="11">
        <f>P323*4</f>
        <v>7.2</v>
      </c>
      <c r="T323" s="11">
        <f>Q323*4</f>
        <v>8.8000000000000007</v>
      </c>
      <c r="U323" s="11">
        <f>R323*4</f>
        <v>7.2</v>
      </c>
      <c r="V323" s="12">
        <f>4/3*3.14*U323^2*T323</f>
        <v>1909.9238400000002</v>
      </c>
      <c r="W323" s="12">
        <f>V323/1000</f>
        <v>1.9099238400000003</v>
      </c>
    </row>
    <row r="324" spans="1:23" x14ac:dyDescent="0.25">
      <c r="A324" s="7">
        <v>323</v>
      </c>
      <c r="B324" s="8" t="s">
        <v>408</v>
      </c>
      <c r="C324" s="8" t="s">
        <v>426</v>
      </c>
      <c r="D324" s="7" t="s">
        <v>425</v>
      </c>
      <c r="E324" s="8" t="s">
        <v>51</v>
      </c>
      <c r="F324" s="7">
        <v>1050</v>
      </c>
      <c r="G324" s="7">
        <v>1300</v>
      </c>
      <c r="H324" s="7">
        <f>(F324+G324)/2</f>
        <v>1175</v>
      </c>
      <c r="I324" s="9">
        <v>9</v>
      </c>
      <c r="J324" s="10" t="s">
        <v>65</v>
      </c>
      <c r="K324" s="8" t="s">
        <v>68</v>
      </c>
      <c r="L324" s="8" t="s">
        <v>28</v>
      </c>
      <c r="M324" s="8" t="s">
        <v>39</v>
      </c>
      <c r="N324" s="8"/>
      <c r="O324" s="8" t="s">
        <v>71</v>
      </c>
      <c r="P324" s="11">
        <v>1.5</v>
      </c>
      <c r="Q324" s="11">
        <v>1.7</v>
      </c>
      <c r="R324" s="11">
        <v>1.5</v>
      </c>
      <c r="S324" s="11">
        <f>P324*4</f>
        <v>6</v>
      </c>
      <c r="T324" s="11">
        <f>Q324*4</f>
        <v>6.8</v>
      </c>
      <c r="U324" s="11">
        <f>R324*4</f>
        <v>6</v>
      </c>
      <c r="V324" s="12">
        <f>4/3*3.14*U324^2*T324</f>
        <v>1024.896</v>
      </c>
      <c r="W324" s="12">
        <f>V324/1000</f>
        <v>1.024896</v>
      </c>
    </row>
    <row r="325" spans="1:23" x14ac:dyDescent="0.25">
      <c r="A325" s="7">
        <v>324</v>
      </c>
      <c r="B325" s="8" t="s">
        <v>408</v>
      </c>
      <c r="C325" s="8" t="s">
        <v>427</v>
      </c>
      <c r="D325" s="7" t="s">
        <v>425</v>
      </c>
      <c r="E325" s="8" t="s">
        <v>51</v>
      </c>
      <c r="F325" s="7">
        <v>1050</v>
      </c>
      <c r="G325" s="7">
        <v>1300</v>
      </c>
      <c r="H325" s="7">
        <f>(F325+G325)/2</f>
        <v>1175</v>
      </c>
      <c r="I325" s="9">
        <v>9</v>
      </c>
      <c r="J325" s="10" t="s">
        <v>65</v>
      </c>
      <c r="K325" s="8" t="s">
        <v>68</v>
      </c>
      <c r="L325" s="8" t="s">
        <v>28</v>
      </c>
      <c r="M325" s="8" t="s">
        <v>39</v>
      </c>
      <c r="N325" s="8"/>
      <c r="O325" s="8" t="s">
        <v>71</v>
      </c>
      <c r="P325" s="11">
        <v>1.2</v>
      </c>
      <c r="Q325" s="11">
        <v>1.9</v>
      </c>
      <c r="R325" s="11">
        <v>1.2</v>
      </c>
      <c r="S325" s="11">
        <f>P325*4</f>
        <v>4.8</v>
      </c>
      <c r="T325" s="11">
        <f>Q325*4</f>
        <v>7.6</v>
      </c>
      <c r="U325" s="11">
        <f>R325*4</f>
        <v>4.8</v>
      </c>
      <c r="V325" s="12">
        <f>4/3*3.14*U325^2*T325</f>
        <v>733.10207999999989</v>
      </c>
      <c r="W325" s="12">
        <f>V325/1000</f>
        <v>0.73310207999999988</v>
      </c>
    </row>
    <row r="326" spans="1:23" x14ac:dyDescent="0.25">
      <c r="A326" s="7">
        <v>325</v>
      </c>
      <c r="B326" s="8" t="s">
        <v>408</v>
      </c>
      <c r="C326" s="8" t="s">
        <v>428</v>
      </c>
      <c r="D326" s="7" t="s">
        <v>417</v>
      </c>
      <c r="E326" s="8" t="s">
        <v>51</v>
      </c>
      <c r="F326" s="7">
        <v>850</v>
      </c>
      <c r="G326" s="7">
        <v>1050</v>
      </c>
      <c r="H326" s="7">
        <f>(F326+G326)/2</f>
        <v>950</v>
      </c>
      <c r="I326" s="9">
        <v>10</v>
      </c>
      <c r="J326" s="10" t="s">
        <v>26</v>
      </c>
      <c r="K326" s="8" t="s">
        <v>68</v>
      </c>
      <c r="L326" s="8" t="s">
        <v>28</v>
      </c>
      <c r="M326" s="8" t="s">
        <v>39</v>
      </c>
      <c r="N326" s="8"/>
      <c r="O326" s="8" t="s">
        <v>71</v>
      </c>
      <c r="P326" s="11">
        <v>4.2</v>
      </c>
      <c r="Q326" s="11">
        <v>7.6</v>
      </c>
      <c r="R326" s="11">
        <v>6</v>
      </c>
      <c r="S326" s="11">
        <f>P326*4</f>
        <v>16.8</v>
      </c>
      <c r="T326" s="11">
        <f>Q326*4</f>
        <v>30.4</v>
      </c>
      <c r="U326" s="11">
        <f>R326*4</f>
        <v>24</v>
      </c>
      <c r="V326" s="12">
        <f>4/3*3.14*U326^2*T326</f>
        <v>73310.207999999999</v>
      </c>
      <c r="W326" s="12">
        <f>V326/1000</f>
        <v>73.310208000000003</v>
      </c>
    </row>
    <row r="327" spans="1:23" x14ac:dyDescent="0.25">
      <c r="A327" s="7">
        <v>326</v>
      </c>
      <c r="B327" s="8" t="s">
        <v>408</v>
      </c>
      <c r="C327" s="8" t="s">
        <v>429</v>
      </c>
      <c r="D327" s="7" t="s">
        <v>430</v>
      </c>
      <c r="E327" s="8" t="s">
        <v>51</v>
      </c>
      <c r="F327" s="7">
        <v>1000</v>
      </c>
      <c r="G327" s="7">
        <v>1000</v>
      </c>
      <c r="H327" s="7">
        <f>(F327+G327)/2</f>
        <v>1000</v>
      </c>
      <c r="I327" s="9">
        <v>10</v>
      </c>
      <c r="J327" s="10" t="s">
        <v>65</v>
      </c>
      <c r="K327" s="8" t="s">
        <v>42</v>
      </c>
      <c r="L327" s="8" t="s">
        <v>43</v>
      </c>
      <c r="M327" s="8" t="s">
        <v>39</v>
      </c>
      <c r="N327" s="8"/>
      <c r="O327" s="8" t="s">
        <v>71</v>
      </c>
      <c r="P327" s="11">
        <v>0.9</v>
      </c>
      <c r="Q327" s="11">
        <v>2.1</v>
      </c>
      <c r="R327" s="11">
        <v>1.6</v>
      </c>
      <c r="S327" s="11">
        <f>P327*4</f>
        <v>3.6</v>
      </c>
      <c r="T327" s="11">
        <f>Q327*4</f>
        <v>8.4</v>
      </c>
      <c r="U327" s="11">
        <f>R327*4</f>
        <v>6.4</v>
      </c>
      <c r="V327" s="12">
        <f>4/3*3.14*U327^2*T327</f>
        <v>1440.4812800000002</v>
      </c>
      <c r="W327" s="12">
        <f>V327/1000</f>
        <v>1.4404812800000002</v>
      </c>
    </row>
    <row r="328" spans="1:23" x14ac:dyDescent="0.25">
      <c r="A328" s="7">
        <v>327</v>
      </c>
      <c r="B328" s="8" t="s">
        <v>408</v>
      </c>
      <c r="C328" s="8" t="s">
        <v>431</v>
      </c>
      <c r="D328" s="7" t="s">
        <v>417</v>
      </c>
      <c r="E328" s="8" t="s">
        <v>51</v>
      </c>
      <c r="F328" s="7">
        <v>850</v>
      </c>
      <c r="G328" s="7">
        <v>1050</v>
      </c>
      <c r="H328" s="7">
        <f>(F328+G328)/2</f>
        <v>950</v>
      </c>
      <c r="I328" s="9">
        <v>10</v>
      </c>
      <c r="J328" s="10" t="s">
        <v>26</v>
      </c>
      <c r="K328" s="8" t="s">
        <v>27</v>
      </c>
      <c r="L328" s="8" t="s">
        <v>28</v>
      </c>
      <c r="M328" s="8" t="s">
        <v>39</v>
      </c>
      <c r="N328" s="8"/>
      <c r="O328" s="8" t="s">
        <v>71</v>
      </c>
      <c r="P328" s="11">
        <v>1.7</v>
      </c>
      <c r="Q328" s="11">
        <v>8.1</v>
      </c>
      <c r="R328" s="11">
        <v>5</v>
      </c>
      <c r="S328" s="11">
        <f>P328*4</f>
        <v>6.8</v>
      </c>
      <c r="T328" s="11">
        <f>Q328*4</f>
        <v>32.4</v>
      </c>
      <c r="U328" s="11">
        <f>R328*4</f>
        <v>20</v>
      </c>
      <c r="V328" s="12">
        <f>4/3*3.14*U328^2*T328</f>
        <v>54259.19999999999</v>
      </c>
      <c r="W328" s="12">
        <f>V328/1000</f>
        <v>54.259199999999993</v>
      </c>
    </row>
    <row r="329" spans="1:23" x14ac:dyDescent="0.25">
      <c r="A329" s="7">
        <v>328</v>
      </c>
      <c r="B329" s="8" t="s">
        <v>408</v>
      </c>
      <c r="C329" s="8" t="s">
        <v>432</v>
      </c>
      <c r="D329" s="7" t="s">
        <v>425</v>
      </c>
      <c r="E329" s="8" t="s">
        <v>51</v>
      </c>
      <c r="F329" s="7">
        <v>1050</v>
      </c>
      <c r="G329" s="7">
        <v>1300</v>
      </c>
      <c r="H329" s="7">
        <f>(F329+G329)/2</f>
        <v>1175</v>
      </c>
      <c r="I329" s="9">
        <v>1</v>
      </c>
      <c r="J329" s="10" t="s">
        <v>32</v>
      </c>
      <c r="K329" s="8" t="s">
        <v>27</v>
      </c>
      <c r="L329" s="8" t="s">
        <v>28</v>
      </c>
      <c r="M329" s="8" t="s">
        <v>39</v>
      </c>
      <c r="N329" s="8"/>
      <c r="O329" s="8" t="s">
        <v>71</v>
      </c>
      <c r="P329" s="11">
        <v>9.9</v>
      </c>
      <c r="Q329" s="11">
        <v>2.4</v>
      </c>
      <c r="R329" s="11">
        <v>9.9</v>
      </c>
      <c r="S329" s="11">
        <f>P329*4</f>
        <v>39.6</v>
      </c>
      <c r="T329" s="11">
        <f>Q329*4</f>
        <v>9.6</v>
      </c>
      <c r="U329" s="11">
        <f>R329*4</f>
        <v>39.6</v>
      </c>
      <c r="V329" s="12">
        <f>(1/3)*3.14*T329^2*(3*(U329/2)-T329)</f>
        <v>4803.74784</v>
      </c>
      <c r="W329" s="12">
        <f>V329/1000</f>
        <v>4.8037478399999998</v>
      </c>
    </row>
    <row r="330" spans="1:23" x14ac:dyDescent="0.25">
      <c r="A330" s="7">
        <v>329</v>
      </c>
      <c r="B330" s="8" t="s">
        <v>408</v>
      </c>
      <c r="C330" s="8" t="s">
        <v>433</v>
      </c>
      <c r="D330" s="7" t="s">
        <v>425</v>
      </c>
      <c r="E330" s="8" t="s">
        <v>51</v>
      </c>
      <c r="F330" s="7">
        <v>1050</v>
      </c>
      <c r="G330" s="7">
        <v>1300</v>
      </c>
      <c r="H330" s="7">
        <f>(F330+G330)/2</f>
        <v>1175</v>
      </c>
      <c r="I330" s="9">
        <v>1</v>
      </c>
      <c r="J330" s="10" t="s">
        <v>34</v>
      </c>
      <c r="K330" s="8" t="s">
        <v>27</v>
      </c>
      <c r="L330" s="8" t="s">
        <v>28</v>
      </c>
      <c r="M330" s="8" t="s">
        <v>39</v>
      </c>
      <c r="N330" s="8"/>
      <c r="O330" s="8" t="s">
        <v>71</v>
      </c>
      <c r="P330" s="11">
        <v>8.3000000000000007</v>
      </c>
      <c r="Q330" s="11">
        <v>2.7</v>
      </c>
      <c r="R330" s="11">
        <v>8.3000000000000007</v>
      </c>
      <c r="S330" s="11">
        <f>P330*4</f>
        <v>33.200000000000003</v>
      </c>
      <c r="T330" s="11">
        <f>Q330*4</f>
        <v>10.8</v>
      </c>
      <c r="U330" s="11">
        <f>R330*4</f>
        <v>33.200000000000003</v>
      </c>
      <c r="V330" s="12">
        <f>(1/3)*3.14*T330^2*(3*(U330/2)-T330)</f>
        <v>4761.2448000000004</v>
      </c>
      <c r="W330" s="12">
        <f>V330/1000</f>
        <v>4.7612448000000001</v>
      </c>
    </row>
    <row r="331" spans="1:23" x14ac:dyDescent="0.25">
      <c r="A331" s="7">
        <v>330</v>
      </c>
      <c r="B331" s="8" t="s">
        <v>408</v>
      </c>
      <c r="C331" s="8" t="s">
        <v>434</v>
      </c>
      <c r="D331" s="7" t="s">
        <v>425</v>
      </c>
      <c r="E331" s="8" t="s">
        <v>51</v>
      </c>
      <c r="F331" s="7">
        <v>1050</v>
      </c>
      <c r="G331" s="7">
        <v>1300</v>
      </c>
      <c r="H331" s="7">
        <f>(F331+G331)/2</f>
        <v>1175</v>
      </c>
      <c r="I331" s="9">
        <v>2</v>
      </c>
      <c r="J331" s="10" t="s">
        <v>32</v>
      </c>
      <c r="K331" s="8" t="s">
        <v>108</v>
      </c>
      <c r="L331" s="8" t="s">
        <v>109</v>
      </c>
      <c r="M331" s="8" t="s">
        <v>39</v>
      </c>
      <c r="N331" s="8"/>
      <c r="O331" s="8" t="s">
        <v>71</v>
      </c>
      <c r="P331" s="11">
        <v>9</v>
      </c>
      <c r="Q331" s="11">
        <v>4.0999999999999996</v>
      </c>
      <c r="R331" s="11">
        <v>9</v>
      </c>
      <c r="S331" s="11">
        <f>P331*4</f>
        <v>36</v>
      </c>
      <c r="T331" s="11">
        <f>Q331*4</f>
        <v>16.399999999999999</v>
      </c>
      <c r="U331" s="11">
        <f>R331*4</f>
        <v>36</v>
      </c>
      <c r="V331" s="12">
        <f>(1/3)*3.14*T331^2*(3*(U331/2)-T331)</f>
        <v>10584.831146666666</v>
      </c>
      <c r="W331" s="12">
        <f>V331/1000</f>
        <v>10.584831146666666</v>
      </c>
    </row>
    <row r="332" spans="1:23" x14ac:dyDescent="0.25">
      <c r="A332" s="7">
        <v>331</v>
      </c>
      <c r="B332" s="8" t="s">
        <v>408</v>
      </c>
      <c r="C332" s="8" t="s">
        <v>435</v>
      </c>
      <c r="D332" s="7" t="s">
        <v>425</v>
      </c>
      <c r="E332" s="8" t="s">
        <v>51</v>
      </c>
      <c r="F332" s="7">
        <v>1050</v>
      </c>
      <c r="G332" s="7">
        <v>1300</v>
      </c>
      <c r="H332" s="7">
        <f>(F332+G332)/2</f>
        <v>1175</v>
      </c>
      <c r="I332" s="9">
        <v>7</v>
      </c>
      <c r="J332" s="10" t="s">
        <v>65</v>
      </c>
      <c r="K332" s="8" t="s">
        <v>27</v>
      </c>
      <c r="L332" s="8" t="s">
        <v>28</v>
      </c>
      <c r="M332" s="8" t="s">
        <v>39</v>
      </c>
      <c r="N332" s="8"/>
      <c r="O332" s="8" t="s">
        <v>71</v>
      </c>
      <c r="P332" s="11">
        <v>2.1</v>
      </c>
      <c r="Q332" s="11">
        <v>2</v>
      </c>
      <c r="R332" s="11">
        <v>2.9</v>
      </c>
      <c r="S332" s="11">
        <f>P332*4</f>
        <v>8.4</v>
      </c>
      <c r="T332" s="11">
        <f>Q332*4</f>
        <v>8</v>
      </c>
      <c r="U332" s="11">
        <f>R332*4</f>
        <v>11.6</v>
      </c>
      <c r="V332" s="12">
        <f>4/3*3.14*U332^2*T332</f>
        <v>4506.8629333333329</v>
      </c>
      <c r="W332" s="12">
        <f>V332/1000</f>
        <v>4.5068629333333332</v>
      </c>
    </row>
    <row r="333" spans="1:23" x14ac:dyDescent="0.25">
      <c r="A333" s="7">
        <v>332</v>
      </c>
      <c r="B333" s="8" t="s">
        <v>408</v>
      </c>
      <c r="C333" s="8" t="s">
        <v>436</v>
      </c>
      <c r="D333" s="7" t="s">
        <v>425</v>
      </c>
      <c r="E333" s="8" t="s">
        <v>51</v>
      </c>
      <c r="F333" s="7">
        <v>1050</v>
      </c>
      <c r="G333" s="7">
        <v>1300</v>
      </c>
      <c r="H333" s="7">
        <f>(F333+G333)/2</f>
        <v>1175</v>
      </c>
      <c r="I333" s="9">
        <v>4</v>
      </c>
      <c r="J333" s="10" t="s">
        <v>65</v>
      </c>
      <c r="K333" s="8" t="s">
        <v>27</v>
      </c>
      <c r="L333" s="8" t="s">
        <v>28</v>
      </c>
      <c r="M333" s="8" t="s">
        <v>437</v>
      </c>
      <c r="N333" s="8" t="s">
        <v>438</v>
      </c>
      <c r="O333" s="8" t="s">
        <v>71</v>
      </c>
      <c r="P333" s="11">
        <v>3.1</v>
      </c>
      <c r="Q333" s="11">
        <v>3.4</v>
      </c>
      <c r="R333" s="11">
        <v>3.1</v>
      </c>
      <c r="S333" s="11">
        <f>P333*4</f>
        <v>12.4</v>
      </c>
      <c r="T333" s="11">
        <f>Q333*4</f>
        <v>13.6</v>
      </c>
      <c r="U333" s="11">
        <f>R333*4</f>
        <v>12.4</v>
      </c>
      <c r="V333" s="12">
        <f>(2/3)*3.14*(U333/2)^3</f>
        <v>498.89994666666672</v>
      </c>
      <c r="W333" s="12">
        <f>V333/1000</f>
        <v>0.4988999466666667</v>
      </c>
    </row>
    <row r="334" spans="1:23" x14ac:dyDescent="0.25">
      <c r="A334" s="7">
        <v>333</v>
      </c>
      <c r="B334" s="8" t="s">
        <v>408</v>
      </c>
      <c r="C334" s="8" t="s">
        <v>439</v>
      </c>
      <c r="D334" s="7" t="s">
        <v>425</v>
      </c>
      <c r="E334" s="8" t="s">
        <v>51</v>
      </c>
      <c r="F334" s="7">
        <v>1050</v>
      </c>
      <c r="G334" s="7">
        <v>1300</v>
      </c>
      <c r="H334" s="7">
        <f>(F334+G334)/2</f>
        <v>1175</v>
      </c>
      <c r="I334" s="9">
        <v>4</v>
      </c>
      <c r="J334" s="10" t="s">
        <v>65</v>
      </c>
      <c r="K334" s="8" t="s">
        <v>27</v>
      </c>
      <c r="L334" s="8" t="s">
        <v>28</v>
      </c>
      <c r="M334" s="8" t="s">
        <v>132</v>
      </c>
      <c r="N334" s="8"/>
      <c r="O334" s="8" t="s">
        <v>71</v>
      </c>
      <c r="P334" s="11">
        <v>2</v>
      </c>
      <c r="Q334" s="11">
        <v>2.2000000000000002</v>
      </c>
      <c r="R334" s="11">
        <v>2.2000000000000002</v>
      </c>
      <c r="S334" s="11">
        <f>P334*4</f>
        <v>8</v>
      </c>
      <c r="T334" s="11">
        <f>Q334*4</f>
        <v>8.8000000000000007</v>
      </c>
      <c r="U334" s="11">
        <f>R334*4</f>
        <v>8.8000000000000007</v>
      </c>
      <c r="V334" s="12">
        <f>(2/3)*3.14*(U334/2)^3</f>
        <v>178.31850666666671</v>
      </c>
      <c r="W334" s="12">
        <f>V334/1000</f>
        <v>0.17831850666666671</v>
      </c>
    </row>
    <row r="335" spans="1:23" x14ac:dyDescent="0.25">
      <c r="A335" s="7">
        <v>336</v>
      </c>
      <c r="B335" s="8" t="s">
        <v>440</v>
      </c>
      <c r="C335" s="8" t="s">
        <v>441</v>
      </c>
      <c r="D335" s="7" t="s">
        <v>442</v>
      </c>
      <c r="E335" s="8" t="s">
        <v>51</v>
      </c>
      <c r="F335" s="7">
        <v>1000</v>
      </c>
      <c r="G335" s="7">
        <v>1200</v>
      </c>
      <c r="H335" s="7">
        <f>(F335+G335)/2</f>
        <v>1100</v>
      </c>
      <c r="I335" s="9">
        <v>4</v>
      </c>
      <c r="J335" s="10" t="s">
        <v>65</v>
      </c>
      <c r="K335" s="8" t="s">
        <v>108</v>
      </c>
      <c r="L335" s="8" t="s">
        <v>109</v>
      </c>
      <c r="M335" s="8" t="s">
        <v>39</v>
      </c>
      <c r="N335" s="8"/>
      <c r="O335" s="8" t="s">
        <v>71</v>
      </c>
      <c r="P335" s="11">
        <v>2.4</v>
      </c>
      <c r="Q335" s="11">
        <v>2</v>
      </c>
      <c r="R335" s="11">
        <v>2.4</v>
      </c>
      <c r="S335" s="11">
        <f>P335*4</f>
        <v>9.6</v>
      </c>
      <c r="T335" s="11">
        <f>Q335*4</f>
        <v>8</v>
      </c>
      <c r="U335" s="11">
        <f>R335*4</f>
        <v>9.6</v>
      </c>
      <c r="V335" s="12">
        <f>(2/3)*3.14*(U335/2)^3</f>
        <v>231.50592</v>
      </c>
      <c r="W335" s="12">
        <f>V335/1000</f>
        <v>0.23150592</v>
      </c>
    </row>
    <row r="336" spans="1:23" x14ac:dyDescent="0.25">
      <c r="A336" s="7">
        <v>337</v>
      </c>
      <c r="B336" s="8" t="s">
        <v>440</v>
      </c>
      <c r="C336" s="8" t="s">
        <v>443</v>
      </c>
      <c r="D336" s="7" t="s">
        <v>442</v>
      </c>
      <c r="E336" s="8" t="s">
        <v>51</v>
      </c>
      <c r="F336" s="7">
        <v>1000</v>
      </c>
      <c r="G336" s="7">
        <v>1200</v>
      </c>
      <c r="H336" s="7">
        <f>(F336+G336)/2</f>
        <v>1100</v>
      </c>
      <c r="I336" s="9">
        <v>9</v>
      </c>
      <c r="J336" s="10" t="s">
        <v>65</v>
      </c>
      <c r="K336" s="8" t="s">
        <v>42</v>
      </c>
      <c r="L336" s="8" t="s">
        <v>43</v>
      </c>
      <c r="M336" s="8" t="s">
        <v>39</v>
      </c>
      <c r="N336" s="8"/>
      <c r="O336" s="8" t="s">
        <v>71</v>
      </c>
      <c r="P336" s="11">
        <v>1.6</v>
      </c>
      <c r="Q336" s="11">
        <v>2.1</v>
      </c>
      <c r="R336" s="11">
        <v>1.9</v>
      </c>
      <c r="S336" s="11">
        <f>P336*4</f>
        <v>6.4</v>
      </c>
      <c r="T336" s="11">
        <f>Q336*4</f>
        <v>8.4</v>
      </c>
      <c r="U336" s="11">
        <f>R336*4</f>
        <v>7.6</v>
      </c>
      <c r="V336" s="12">
        <f>4/3*3.14*U336^2*T336</f>
        <v>2031.30368</v>
      </c>
      <c r="W336" s="12">
        <f>V336/1000</f>
        <v>2.0313036800000002</v>
      </c>
    </row>
    <row r="337" spans="1:23" x14ac:dyDescent="0.25">
      <c r="A337" s="7">
        <v>338</v>
      </c>
      <c r="B337" s="8" t="s">
        <v>440</v>
      </c>
      <c r="C337" s="8" t="s">
        <v>444</v>
      </c>
      <c r="D337" s="7" t="s">
        <v>442</v>
      </c>
      <c r="E337" s="8" t="s">
        <v>51</v>
      </c>
      <c r="F337" s="7">
        <v>1000</v>
      </c>
      <c r="G337" s="7">
        <v>1200</v>
      </c>
      <c r="H337" s="7">
        <f>(F337+G337)/2</f>
        <v>1100</v>
      </c>
      <c r="I337" s="9">
        <v>5</v>
      </c>
      <c r="J337" s="10" t="s">
        <v>26</v>
      </c>
      <c r="K337" s="8" t="s">
        <v>27</v>
      </c>
      <c r="L337" s="8" t="s">
        <v>28</v>
      </c>
      <c r="M337" s="8" t="s">
        <v>39</v>
      </c>
      <c r="N337" s="8"/>
      <c r="O337" s="8" t="s">
        <v>71</v>
      </c>
      <c r="P337" s="11">
        <v>3.3</v>
      </c>
      <c r="Q337" s="11">
        <v>4.5</v>
      </c>
      <c r="R337" s="11">
        <v>4.8</v>
      </c>
      <c r="S337" s="11">
        <f>P337*4</f>
        <v>13.2</v>
      </c>
      <c r="T337" s="11">
        <f>Q337*4</f>
        <v>18</v>
      </c>
      <c r="U337" s="11">
        <f>R337*4</f>
        <v>19.2</v>
      </c>
      <c r="V337" s="12">
        <f>(4/3)*3.14*(U337/2)^3</f>
        <v>3704.0947200000001</v>
      </c>
      <c r="W337" s="12">
        <f>V337/1000</f>
        <v>3.7040947200000001</v>
      </c>
    </row>
    <row r="338" spans="1:23" x14ac:dyDescent="0.25">
      <c r="A338" s="7">
        <v>339</v>
      </c>
      <c r="B338" s="8" t="s">
        <v>440</v>
      </c>
      <c r="C338" s="8" t="s">
        <v>445</v>
      </c>
      <c r="D338" s="7" t="s">
        <v>442</v>
      </c>
      <c r="E338" s="8" t="s">
        <v>51</v>
      </c>
      <c r="F338" s="7">
        <v>1000</v>
      </c>
      <c r="G338" s="7">
        <v>1200</v>
      </c>
      <c r="H338" s="7">
        <f>(F338+G338)/2</f>
        <v>1100</v>
      </c>
      <c r="I338" s="9">
        <v>5</v>
      </c>
      <c r="J338" s="10" t="s">
        <v>26</v>
      </c>
      <c r="K338" s="8" t="s">
        <v>27</v>
      </c>
      <c r="L338" s="8" t="s">
        <v>28</v>
      </c>
      <c r="M338" s="8" t="s">
        <v>39</v>
      </c>
      <c r="N338" s="8"/>
      <c r="O338" s="8" t="s">
        <v>71</v>
      </c>
      <c r="P338" s="11">
        <v>2.6</v>
      </c>
      <c r="Q338" s="11">
        <v>4</v>
      </c>
      <c r="R338" s="11">
        <v>4.4000000000000004</v>
      </c>
      <c r="S338" s="11">
        <f>P338*4</f>
        <v>10.4</v>
      </c>
      <c r="T338" s="11">
        <f>Q338*4</f>
        <v>16</v>
      </c>
      <c r="U338" s="11">
        <f>R338*4</f>
        <v>17.600000000000001</v>
      </c>
      <c r="V338" s="12">
        <f>(4/3)*3.14*(U338/2)^3</f>
        <v>2853.0961066666673</v>
      </c>
      <c r="W338" s="12">
        <f>V338/1000</f>
        <v>2.8530961066666674</v>
      </c>
    </row>
    <row r="339" spans="1:23" x14ac:dyDescent="0.25">
      <c r="A339" s="7">
        <v>340</v>
      </c>
      <c r="B339" s="8" t="s">
        <v>440</v>
      </c>
      <c r="C339" s="8" t="s">
        <v>446</v>
      </c>
      <c r="D339" s="7" t="s">
        <v>442</v>
      </c>
      <c r="E339" s="8" t="s">
        <v>51</v>
      </c>
      <c r="F339" s="7">
        <v>1000</v>
      </c>
      <c r="G339" s="7">
        <v>1200</v>
      </c>
      <c r="H339" s="7">
        <f>(F339+G339)/2</f>
        <v>1100</v>
      </c>
      <c r="I339" s="9">
        <v>5</v>
      </c>
      <c r="J339" s="10" t="s">
        <v>26</v>
      </c>
      <c r="K339" s="8" t="s">
        <v>59</v>
      </c>
      <c r="L339" s="8" t="s">
        <v>60</v>
      </c>
      <c r="M339" s="8" t="s">
        <v>39</v>
      </c>
      <c r="N339" s="8"/>
      <c r="O339" s="8" t="s">
        <v>71</v>
      </c>
      <c r="P339" s="11">
        <v>3.2</v>
      </c>
      <c r="Q339" s="11">
        <v>3.5</v>
      </c>
      <c r="R339" s="11">
        <v>3.8</v>
      </c>
      <c r="S339" s="11">
        <f>P339*4</f>
        <v>12.8</v>
      </c>
      <c r="T339" s="11">
        <f>Q339*4</f>
        <v>14</v>
      </c>
      <c r="U339" s="11">
        <f>R339*4</f>
        <v>15.2</v>
      </c>
      <c r="V339" s="12">
        <f>(4/3)*3.14*(U339/2)^3</f>
        <v>1837.8461866666664</v>
      </c>
      <c r="W339" s="12">
        <f>V339/1000</f>
        <v>1.8378461866666664</v>
      </c>
    </row>
    <row r="340" spans="1:23" x14ac:dyDescent="0.25">
      <c r="A340" s="7">
        <v>341</v>
      </c>
      <c r="B340" s="8" t="s">
        <v>440</v>
      </c>
      <c r="C340" s="8" t="s">
        <v>447</v>
      </c>
      <c r="D340" s="7" t="s">
        <v>406</v>
      </c>
      <c r="E340" s="8" t="s">
        <v>51</v>
      </c>
      <c r="F340" s="7">
        <v>890</v>
      </c>
      <c r="G340" s="7">
        <v>1160</v>
      </c>
      <c r="H340" s="7">
        <f>(F340+G340)/2</f>
        <v>1025</v>
      </c>
      <c r="I340" s="9">
        <v>5</v>
      </c>
      <c r="J340" s="10" t="s">
        <v>65</v>
      </c>
      <c r="K340" s="8" t="s">
        <v>157</v>
      </c>
      <c r="L340" s="8" t="s">
        <v>38</v>
      </c>
      <c r="M340" s="8" t="s">
        <v>39</v>
      </c>
      <c r="N340" s="8"/>
      <c r="O340" s="8" t="s">
        <v>71</v>
      </c>
      <c r="P340" s="11">
        <v>2</v>
      </c>
      <c r="Q340" s="11">
        <v>1.8</v>
      </c>
      <c r="R340" s="11">
        <v>2.5</v>
      </c>
      <c r="S340" s="11">
        <f>P340*4</f>
        <v>8</v>
      </c>
      <c r="T340" s="11">
        <f>Q340*4</f>
        <v>7.2</v>
      </c>
      <c r="U340" s="11">
        <f>R340*4</f>
        <v>10</v>
      </c>
      <c r="V340" s="12">
        <f>(4/3)*3.14*(U340/2)^3</f>
        <v>523.33333333333337</v>
      </c>
      <c r="W340" s="12">
        <f>V340/1000</f>
        <v>0.52333333333333332</v>
      </c>
    </row>
    <row r="341" spans="1:23" x14ac:dyDescent="0.25">
      <c r="A341" s="7">
        <v>342</v>
      </c>
      <c r="B341" s="8" t="s">
        <v>440</v>
      </c>
      <c r="C341" s="8" t="s">
        <v>448</v>
      </c>
      <c r="D341" s="7" t="s">
        <v>449</v>
      </c>
      <c r="E341" s="8" t="s">
        <v>51</v>
      </c>
      <c r="F341" s="7">
        <v>1010</v>
      </c>
      <c r="G341" s="7">
        <v>1270</v>
      </c>
      <c r="H341" s="7">
        <f>(F341+G341)/2</f>
        <v>1140</v>
      </c>
      <c r="I341" s="9">
        <v>5</v>
      </c>
      <c r="J341" s="10" t="s">
        <v>26</v>
      </c>
      <c r="K341" s="8" t="s">
        <v>42</v>
      </c>
      <c r="L341" s="8" t="s">
        <v>43</v>
      </c>
      <c r="M341" s="8" t="s">
        <v>39</v>
      </c>
      <c r="N341" s="8"/>
      <c r="O341" s="8" t="s">
        <v>71</v>
      </c>
      <c r="P341" s="11">
        <v>2.7</v>
      </c>
      <c r="Q341" s="11">
        <v>4.7</v>
      </c>
      <c r="R341" s="11">
        <v>4.0999999999999996</v>
      </c>
      <c r="S341" s="11">
        <f>P341*4</f>
        <v>10.8</v>
      </c>
      <c r="T341" s="11">
        <f>Q341*4</f>
        <v>18.8</v>
      </c>
      <c r="U341" s="11">
        <f>R341*4</f>
        <v>16.399999999999999</v>
      </c>
      <c r="V341" s="12">
        <f>(4/3)*3.14*(U341/2)^3</f>
        <v>2308.3940266666664</v>
      </c>
      <c r="W341" s="12">
        <f>V341/1000</f>
        <v>2.3083940266666665</v>
      </c>
    </row>
    <row r="342" spans="1:23" x14ac:dyDescent="0.25">
      <c r="A342" s="7">
        <v>343</v>
      </c>
      <c r="B342" s="8" t="s">
        <v>440</v>
      </c>
      <c r="C342" s="8" t="s">
        <v>450</v>
      </c>
      <c r="D342" s="7" t="s">
        <v>449</v>
      </c>
      <c r="E342" s="8" t="s">
        <v>51</v>
      </c>
      <c r="F342" s="7">
        <v>1010</v>
      </c>
      <c r="G342" s="7">
        <v>1270</v>
      </c>
      <c r="H342" s="7">
        <f>(F342+G342)/2</f>
        <v>1140</v>
      </c>
      <c r="I342" s="9">
        <v>10</v>
      </c>
      <c r="J342" s="10" t="s">
        <v>65</v>
      </c>
      <c r="K342" s="8" t="s">
        <v>42</v>
      </c>
      <c r="L342" s="8" t="s">
        <v>43</v>
      </c>
      <c r="M342" s="8" t="s">
        <v>39</v>
      </c>
      <c r="N342" s="8"/>
      <c r="O342" s="8" t="s">
        <v>71</v>
      </c>
      <c r="P342" s="11">
        <v>2.2999999999999998</v>
      </c>
      <c r="Q342" s="11">
        <v>3.7</v>
      </c>
      <c r="R342" s="11">
        <v>3.1</v>
      </c>
      <c r="S342" s="11">
        <f>P342*4</f>
        <v>9.1999999999999993</v>
      </c>
      <c r="T342" s="11">
        <f>Q342*4</f>
        <v>14.8</v>
      </c>
      <c r="U342" s="11">
        <f>R342*4</f>
        <v>12.4</v>
      </c>
      <c r="V342" s="12">
        <f>4/3*3.14*U342^2*T342</f>
        <v>9527.3796266666686</v>
      </c>
      <c r="W342" s="12">
        <f>V342/1000</f>
        <v>9.5273796266666686</v>
      </c>
    </row>
    <row r="343" spans="1:23" x14ac:dyDescent="0.25">
      <c r="A343" s="7">
        <v>344</v>
      </c>
      <c r="B343" s="8" t="s">
        <v>440</v>
      </c>
      <c r="C343" s="8" t="s">
        <v>451</v>
      </c>
      <c r="D343" s="7" t="s">
        <v>449</v>
      </c>
      <c r="E343" s="8" t="s">
        <v>51</v>
      </c>
      <c r="F343" s="7">
        <v>1010</v>
      </c>
      <c r="G343" s="7">
        <v>1270</v>
      </c>
      <c r="H343" s="7">
        <f>(F343+G343)/2</f>
        <v>1140</v>
      </c>
      <c r="I343" s="9">
        <v>5</v>
      </c>
      <c r="J343" s="10" t="s">
        <v>26</v>
      </c>
      <c r="K343" s="8" t="s">
        <v>27</v>
      </c>
      <c r="L343" s="8" t="s">
        <v>28</v>
      </c>
      <c r="M343" s="8" t="s">
        <v>437</v>
      </c>
      <c r="N343" s="8" t="s">
        <v>452</v>
      </c>
      <c r="O343" s="8" t="s">
        <v>71</v>
      </c>
      <c r="P343" s="11">
        <v>3.2</v>
      </c>
      <c r="Q343" s="11">
        <v>3.2</v>
      </c>
      <c r="R343" s="11">
        <v>4.2</v>
      </c>
      <c r="S343" s="11">
        <f>P343*4</f>
        <v>12.8</v>
      </c>
      <c r="T343" s="11">
        <f>Q343*4</f>
        <v>12.8</v>
      </c>
      <c r="U343" s="11">
        <f>R343*4</f>
        <v>16.8</v>
      </c>
      <c r="V343" s="12">
        <f>(4/3)*3.14*(U343/2)^3</f>
        <v>2481.45408</v>
      </c>
      <c r="W343" s="12">
        <f>V343/1000</f>
        <v>2.4814540799999998</v>
      </c>
    </row>
    <row r="344" spans="1:23" x14ac:dyDescent="0.25">
      <c r="A344" s="7">
        <v>345</v>
      </c>
      <c r="B344" s="8" t="s">
        <v>440</v>
      </c>
      <c r="C344" s="8" t="s">
        <v>453</v>
      </c>
      <c r="D344" s="7" t="s">
        <v>449</v>
      </c>
      <c r="E344" s="8" t="s">
        <v>51</v>
      </c>
      <c r="F344" s="7">
        <v>1010</v>
      </c>
      <c r="G344" s="7">
        <v>1270</v>
      </c>
      <c r="H344" s="7">
        <f>(F344+G344)/2</f>
        <v>1140</v>
      </c>
      <c r="I344" s="9">
        <v>5</v>
      </c>
      <c r="J344" s="10" t="s">
        <v>34</v>
      </c>
      <c r="K344" s="8" t="s">
        <v>108</v>
      </c>
      <c r="L344" s="8" t="s">
        <v>109</v>
      </c>
      <c r="M344" s="8" t="s">
        <v>39</v>
      </c>
      <c r="N344" s="8"/>
      <c r="O344" s="8" t="s">
        <v>71</v>
      </c>
      <c r="P344" s="11">
        <v>2.9</v>
      </c>
      <c r="Q344" s="11">
        <v>8.3000000000000007</v>
      </c>
      <c r="R344" s="11">
        <v>7.2</v>
      </c>
      <c r="S344" s="11">
        <f>P344*4</f>
        <v>11.6</v>
      </c>
      <c r="T344" s="11">
        <f>Q344*4</f>
        <v>33.200000000000003</v>
      </c>
      <c r="U344" s="11">
        <f>R344*4</f>
        <v>28.8</v>
      </c>
      <c r="V344" s="12">
        <f>(4/3)*3.14*(U344/2)^3</f>
        <v>12501.319680000001</v>
      </c>
      <c r="W344" s="12">
        <f>V344/1000</f>
        <v>12.50131968</v>
      </c>
    </row>
    <row r="345" spans="1:23" x14ac:dyDescent="0.25">
      <c r="A345" s="7">
        <v>346</v>
      </c>
      <c r="B345" s="8" t="s">
        <v>440</v>
      </c>
      <c r="C345" s="8" t="s">
        <v>454</v>
      </c>
      <c r="D345" s="7" t="s">
        <v>449</v>
      </c>
      <c r="E345" s="8" t="s">
        <v>51</v>
      </c>
      <c r="F345" s="7">
        <v>1010</v>
      </c>
      <c r="G345" s="7">
        <v>1270</v>
      </c>
      <c r="H345" s="7">
        <f>(F345+G345)/2</f>
        <v>1140</v>
      </c>
      <c r="I345" s="9">
        <v>4</v>
      </c>
      <c r="J345" s="10" t="s">
        <v>65</v>
      </c>
      <c r="K345" s="8" t="s">
        <v>108</v>
      </c>
      <c r="L345" s="8" t="s">
        <v>109</v>
      </c>
      <c r="M345" s="8" t="s">
        <v>39</v>
      </c>
      <c r="N345" s="8"/>
      <c r="O345" s="8" t="s">
        <v>71</v>
      </c>
      <c r="P345" s="11">
        <v>3.7</v>
      </c>
      <c r="Q345" s="11">
        <v>2.8</v>
      </c>
      <c r="R345" s="11">
        <v>3.7</v>
      </c>
      <c r="S345" s="11">
        <f>P345*4</f>
        <v>14.8</v>
      </c>
      <c r="T345" s="11">
        <f>Q345*4</f>
        <v>11.2</v>
      </c>
      <c r="U345" s="11">
        <f>R345*4</f>
        <v>14.8</v>
      </c>
      <c r="V345" s="12">
        <f>(2/3)*3.14*(U345/2)^3</f>
        <v>848.26890666666679</v>
      </c>
      <c r="W345" s="12">
        <f>V345/1000</f>
        <v>0.84826890666666677</v>
      </c>
    </row>
    <row r="346" spans="1:23" x14ac:dyDescent="0.25">
      <c r="A346" s="7">
        <v>347</v>
      </c>
      <c r="B346" s="8" t="s">
        <v>440</v>
      </c>
      <c r="C346" s="8" t="s">
        <v>455</v>
      </c>
      <c r="D346" s="7" t="s">
        <v>449</v>
      </c>
      <c r="E346" s="8" t="s">
        <v>51</v>
      </c>
      <c r="F346" s="7">
        <v>1010</v>
      </c>
      <c r="G346" s="7">
        <v>1270</v>
      </c>
      <c r="H346" s="7">
        <f>(F346+G346)/2</f>
        <v>1140</v>
      </c>
      <c r="I346" s="9">
        <v>5</v>
      </c>
      <c r="J346" s="10" t="s">
        <v>65</v>
      </c>
      <c r="K346" s="8" t="s">
        <v>42</v>
      </c>
      <c r="L346" s="8" t="s">
        <v>43</v>
      </c>
      <c r="M346" s="8" t="s">
        <v>39</v>
      </c>
      <c r="N346" s="8"/>
      <c r="O346" s="8" t="s">
        <v>71</v>
      </c>
      <c r="P346" s="11">
        <v>3</v>
      </c>
      <c r="Q346" s="11">
        <v>2.7</v>
      </c>
      <c r="R346" s="11">
        <v>3.1</v>
      </c>
      <c r="S346" s="11">
        <f>P346*4</f>
        <v>12</v>
      </c>
      <c r="T346" s="11">
        <f>Q346*4</f>
        <v>10.8</v>
      </c>
      <c r="U346" s="11">
        <f>R346*4</f>
        <v>12.4</v>
      </c>
      <c r="V346" s="12">
        <f>(4/3)*3.14*(U346/2)^3</f>
        <v>997.79989333333344</v>
      </c>
      <c r="W346" s="12">
        <f>V346/1000</f>
        <v>0.99779989333333341</v>
      </c>
    </row>
    <row r="347" spans="1:23" x14ac:dyDescent="0.25">
      <c r="A347" s="7">
        <v>348</v>
      </c>
      <c r="B347" s="8" t="s">
        <v>440</v>
      </c>
      <c r="C347" s="8" t="s">
        <v>456</v>
      </c>
      <c r="D347" s="7" t="s">
        <v>449</v>
      </c>
      <c r="E347" s="8" t="s">
        <v>51</v>
      </c>
      <c r="F347" s="7">
        <v>1010</v>
      </c>
      <c r="G347" s="7">
        <v>1270</v>
      </c>
      <c r="H347" s="7">
        <f>(F347+G347)/2</f>
        <v>1140</v>
      </c>
      <c r="I347" s="9">
        <v>5</v>
      </c>
      <c r="J347" s="10" t="s">
        <v>26</v>
      </c>
      <c r="K347" s="8" t="s">
        <v>77</v>
      </c>
      <c r="L347" s="8" t="s">
        <v>77</v>
      </c>
      <c r="M347" s="8" t="s">
        <v>39</v>
      </c>
      <c r="N347" s="8"/>
      <c r="O347" s="8" t="s">
        <v>71</v>
      </c>
      <c r="P347" s="11">
        <v>4.9000000000000004</v>
      </c>
      <c r="Q347" s="11">
        <v>4.3</v>
      </c>
      <c r="R347" s="11">
        <v>6.1</v>
      </c>
      <c r="S347" s="11">
        <f>P347*4</f>
        <v>19.600000000000001</v>
      </c>
      <c r="T347" s="11">
        <f>Q347*4</f>
        <v>17.2</v>
      </c>
      <c r="U347" s="11">
        <f>R347*4</f>
        <v>24.4</v>
      </c>
      <c r="V347" s="12">
        <f>(4/3)*3.14*(U347/2)^3</f>
        <v>7602.3502933333311</v>
      </c>
      <c r="W347" s="12">
        <f>V347/1000</f>
        <v>7.6023502933333313</v>
      </c>
    </row>
    <row r="348" spans="1:23" x14ac:dyDescent="0.25">
      <c r="A348" s="7">
        <v>349</v>
      </c>
      <c r="B348" s="8" t="s">
        <v>440</v>
      </c>
      <c r="C348" s="8" t="s">
        <v>457</v>
      </c>
      <c r="D348" s="7" t="s">
        <v>449</v>
      </c>
      <c r="E348" s="8" t="s">
        <v>51</v>
      </c>
      <c r="F348" s="7">
        <v>1010</v>
      </c>
      <c r="G348" s="7">
        <v>1270</v>
      </c>
      <c r="H348" s="7">
        <f>(F348+G348)/2</f>
        <v>1140</v>
      </c>
      <c r="I348" s="9">
        <v>7</v>
      </c>
      <c r="J348" s="10" t="s">
        <v>26</v>
      </c>
      <c r="K348" s="8" t="s">
        <v>77</v>
      </c>
      <c r="L348" s="8" t="s">
        <v>77</v>
      </c>
      <c r="M348" s="8" t="s">
        <v>39</v>
      </c>
      <c r="N348" s="8"/>
      <c r="O348" s="8" t="s">
        <v>71</v>
      </c>
      <c r="P348" s="11">
        <v>4</v>
      </c>
      <c r="Q348" s="11">
        <v>2.6</v>
      </c>
      <c r="R348" s="11">
        <v>4.5999999999999996</v>
      </c>
      <c r="S348" s="11">
        <f>P348*4</f>
        <v>16</v>
      </c>
      <c r="T348" s="11">
        <f>Q348*4</f>
        <v>10.4</v>
      </c>
      <c r="U348" s="11">
        <f>R348*4</f>
        <v>18.399999999999999</v>
      </c>
      <c r="V348" s="12">
        <f>4/3*3.14*U348^2*T348</f>
        <v>14741.353813333331</v>
      </c>
      <c r="W348" s="12">
        <f>V348/1000</f>
        <v>14.741353813333332</v>
      </c>
    </row>
    <row r="349" spans="1:23" x14ac:dyDescent="0.25">
      <c r="A349" s="7">
        <v>350</v>
      </c>
      <c r="B349" s="8" t="s">
        <v>458</v>
      </c>
      <c r="C349" s="8" t="s">
        <v>459</v>
      </c>
      <c r="D349" s="7" t="s">
        <v>50</v>
      </c>
      <c r="E349" s="8" t="s">
        <v>182</v>
      </c>
      <c r="F349" s="7">
        <v>-500</v>
      </c>
      <c r="G349" s="7">
        <v>600</v>
      </c>
      <c r="H349" s="7">
        <f>(F349+G349)/2</f>
        <v>50</v>
      </c>
      <c r="I349" s="9">
        <v>4</v>
      </c>
      <c r="J349" s="10" t="s">
        <v>65</v>
      </c>
      <c r="K349" s="8" t="s">
        <v>157</v>
      </c>
      <c r="L349" s="8" t="s">
        <v>38</v>
      </c>
      <c r="M349" s="8" t="s">
        <v>39</v>
      </c>
      <c r="N349" s="8"/>
      <c r="O349" s="8" t="s">
        <v>40</v>
      </c>
      <c r="P349" s="11">
        <v>2.2000000000000002</v>
      </c>
      <c r="Q349" s="11">
        <v>1.5</v>
      </c>
      <c r="R349" s="11">
        <v>2.2000000000000002</v>
      </c>
      <c r="S349" s="11">
        <f>P349*4</f>
        <v>8.8000000000000007</v>
      </c>
      <c r="T349" s="11">
        <f>Q349*4</f>
        <v>6</v>
      </c>
      <c r="U349" s="11">
        <f>R349*4</f>
        <v>8.8000000000000007</v>
      </c>
      <c r="V349" s="12">
        <f>(2/3)*3.14*(U349/2)^3</f>
        <v>178.31850666666671</v>
      </c>
      <c r="W349" s="12">
        <f>V349/1000</f>
        <v>0.17831850666666671</v>
      </c>
    </row>
    <row r="350" spans="1:23" x14ac:dyDescent="0.25">
      <c r="A350" s="7">
        <v>351</v>
      </c>
      <c r="B350" s="8" t="s">
        <v>458</v>
      </c>
      <c r="C350" s="8" t="s">
        <v>460</v>
      </c>
      <c r="D350" s="7" t="s">
        <v>50</v>
      </c>
      <c r="E350" s="8" t="s">
        <v>182</v>
      </c>
      <c r="F350" s="7">
        <v>-500</v>
      </c>
      <c r="G350" s="7">
        <v>600</v>
      </c>
      <c r="H350" s="7">
        <f>(F350+G350)/2</f>
        <v>50</v>
      </c>
      <c r="I350" s="9">
        <v>4</v>
      </c>
      <c r="J350" s="10" t="s">
        <v>65</v>
      </c>
      <c r="K350" s="8" t="s">
        <v>27</v>
      </c>
      <c r="L350" s="8" t="s">
        <v>28</v>
      </c>
      <c r="M350" s="8" t="s">
        <v>39</v>
      </c>
      <c r="N350" s="8"/>
      <c r="O350" s="8" t="s">
        <v>40</v>
      </c>
      <c r="P350" s="11">
        <v>3.2</v>
      </c>
      <c r="Q350" s="11">
        <v>2</v>
      </c>
      <c r="R350" s="11">
        <v>3.2</v>
      </c>
      <c r="S350" s="11">
        <f>P350*4</f>
        <v>12.8</v>
      </c>
      <c r="T350" s="11">
        <f>Q350*4</f>
        <v>8</v>
      </c>
      <c r="U350" s="11">
        <f>R350*4</f>
        <v>12.8</v>
      </c>
      <c r="V350" s="12">
        <f>(2/3)*3.14*(U350/2)^3</f>
        <v>548.75477333333345</v>
      </c>
      <c r="W350" s="12">
        <f>V350/1000</f>
        <v>0.54875477333333345</v>
      </c>
    </row>
    <row r="351" spans="1:23" x14ac:dyDescent="0.25">
      <c r="A351" s="7">
        <v>352</v>
      </c>
      <c r="B351" s="8" t="s">
        <v>458</v>
      </c>
      <c r="C351" s="8" t="s">
        <v>461</v>
      </c>
      <c r="D351" s="7" t="s">
        <v>462</v>
      </c>
      <c r="E351" s="8" t="s">
        <v>51</v>
      </c>
      <c r="F351" s="7">
        <v>650</v>
      </c>
      <c r="G351" s="7">
        <v>1000</v>
      </c>
      <c r="H351" s="7">
        <f>(F351+G351)/2</f>
        <v>825</v>
      </c>
      <c r="I351" s="9">
        <v>4</v>
      </c>
      <c r="J351" s="10" t="s">
        <v>65</v>
      </c>
      <c r="K351" s="8" t="s">
        <v>27</v>
      </c>
      <c r="L351" s="8" t="s">
        <v>28</v>
      </c>
      <c r="M351" s="8" t="s">
        <v>39</v>
      </c>
      <c r="N351" s="8"/>
      <c r="O351" s="8" t="s">
        <v>71</v>
      </c>
      <c r="P351" s="11">
        <v>2.1</v>
      </c>
      <c r="Q351" s="11">
        <v>2</v>
      </c>
      <c r="R351" s="11">
        <v>2.4</v>
      </c>
      <c r="S351" s="11">
        <f>P351*4</f>
        <v>8.4</v>
      </c>
      <c r="T351" s="11">
        <f>Q351*4</f>
        <v>8</v>
      </c>
      <c r="U351" s="11">
        <f>R351*4</f>
        <v>9.6</v>
      </c>
      <c r="V351" s="12">
        <f>(2/3)*3.14*(U351/2)^3</f>
        <v>231.50592</v>
      </c>
      <c r="W351" s="12">
        <f>V351/1000</f>
        <v>0.23150592</v>
      </c>
    </row>
    <row r="352" spans="1:23" x14ac:dyDescent="0.25">
      <c r="A352" s="7">
        <v>353</v>
      </c>
      <c r="B352" s="8" t="s">
        <v>458</v>
      </c>
      <c r="C352" s="8" t="s">
        <v>463</v>
      </c>
      <c r="D352" s="7" t="s">
        <v>462</v>
      </c>
      <c r="E352" s="8" t="s">
        <v>51</v>
      </c>
      <c r="F352" s="7">
        <v>650</v>
      </c>
      <c r="G352" s="7">
        <v>1000</v>
      </c>
      <c r="H352" s="7">
        <f>(F352+G352)/2</f>
        <v>825</v>
      </c>
      <c r="I352" s="9">
        <v>7</v>
      </c>
      <c r="J352" s="10" t="s">
        <v>65</v>
      </c>
      <c r="K352" s="8" t="s">
        <v>27</v>
      </c>
      <c r="L352" s="8" t="s">
        <v>28</v>
      </c>
      <c r="M352" s="8" t="s">
        <v>39</v>
      </c>
      <c r="N352" s="8"/>
      <c r="O352" s="8" t="s">
        <v>71</v>
      </c>
      <c r="P352" s="11">
        <v>2.5</v>
      </c>
      <c r="Q352" s="11">
        <v>2.4</v>
      </c>
      <c r="R352" s="11">
        <v>3.5</v>
      </c>
      <c r="S352" s="11">
        <f>P352*4</f>
        <v>10</v>
      </c>
      <c r="T352" s="11">
        <f>Q352*4</f>
        <v>9.6</v>
      </c>
      <c r="U352" s="11">
        <f>R352*4</f>
        <v>14</v>
      </c>
      <c r="V352" s="12">
        <f>4/3*3.14*U352^2*T352</f>
        <v>7877.6319999999987</v>
      </c>
      <c r="W352" s="12">
        <f>V352/1000</f>
        <v>7.8776319999999984</v>
      </c>
    </row>
    <row r="353" spans="1:23" x14ac:dyDescent="0.25">
      <c r="A353" s="7">
        <v>354</v>
      </c>
      <c r="B353" s="8" t="s">
        <v>458</v>
      </c>
      <c r="C353" s="8" t="s">
        <v>464</v>
      </c>
      <c r="D353" s="7" t="s">
        <v>462</v>
      </c>
      <c r="E353" s="8" t="s">
        <v>51</v>
      </c>
      <c r="F353" s="7">
        <v>650</v>
      </c>
      <c r="G353" s="7">
        <v>1000</v>
      </c>
      <c r="H353" s="7">
        <f>(F353+G353)/2</f>
        <v>825</v>
      </c>
      <c r="I353" s="9">
        <v>7</v>
      </c>
      <c r="J353" s="10" t="s">
        <v>65</v>
      </c>
      <c r="K353" s="8" t="s">
        <v>27</v>
      </c>
      <c r="L353" s="8" t="s">
        <v>28</v>
      </c>
      <c r="M353" s="8" t="s">
        <v>132</v>
      </c>
      <c r="N353" s="8"/>
      <c r="O353" s="8" t="s">
        <v>71</v>
      </c>
      <c r="P353" s="11">
        <v>2.2000000000000002</v>
      </c>
      <c r="Q353" s="11">
        <v>2.7</v>
      </c>
      <c r="R353" s="11">
        <v>3.2</v>
      </c>
      <c r="S353" s="11">
        <f>P353*4</f>
        <v>8.8000000000000007</v>
      </c>
      <c r="T353" s="11">
        <f>Q353*4</f>
        <v>10.8</v>
      </c>
      <c r="U353" s="11">
        <f>R353*4</f>
        <v>12.8</v>
      </c>
      <c r="V353" s="12">
        <f>4/3*3.14*U353^2*T353</f>
        <v>7408.189440000001</v>
      </c>
      <c r="W353" s="12">
        <f>V353/1000</f>
        <v>7.408189440000001</v>
      </c>
    </row>
    <row r="354" spans="1:23" x14ac:dyDescent="0.25">
      <c r="A354" s="7">
        <v>355</v>
      </c>
      <c r="B354" s="8" t="s">
        <v>458</v>
      </c>
      <c r="C354" s="8" t="s">
        <v>465</v>
      </c>
      <c r="D354" s="7" t="s">
        <v>462</v>
      </c>
      <c r="E354" s="8" t="s">
        <v>51</v>
      </c>
      <c r="F354" s="7">
        <v>650</v>
      </c>
      <c r="G354" s="7">
        <v>1000</v>
      </c>
      <c r="H354" s="7">
        <f>(F354+G354)/2</f>
        <v>825</v>
      </c>
      <c r="I354" s="9">
        <v>7</v>
      </c>
      <c r="J354" s="10" t="s">
        <v>65</v>
      </c>
      <c r="K354" s="8" t="s">
        <v>27</v>
      </c>
      <c r="L354" s="8" t="s">
        <v>28</v>
      </c>
      <c r="M354" s="8" t="s">
        <v>39</v>
      </c>
      <c r="N354" s="8"/>
      <c r="O354" s="8" t="s">
        <v>71</v>
      </c>
      <c r="P354" s="11">
        <v>2.5</v>
      </c>
      <c r="Q354" s="11">
        <v>1.9</v>
      </c>
      <c r="R354" s="11">
        <v>3.4</v>
      </c>
      <c r="S354" s="11">
        <f>P354*4</f>
        <v>10</v>
      </c>
      <c r="T354" s="11">
        <f>Q354*4</f>
        <v>7.6</v>
      </c>
      <c r="U354" s="11">
        <f>R354*4</f>
        <v>13.6</v>
      </c>
      <c r="V354" s="12">
        <f>4/3*3.14*U354^2*T354</f>
        <v>5885.1805866666655</v>
      </c>
      <c r="W354" s="12">
        <f>V354/1000</f>
        <v>5.8851805866666655</v>
      </c>
    </row>
    <row r="355" spans="1:23" x14ac:dyDescent="0.25">
      <c r="A355" s="7">
        <v>356</v>
      </c>
      <c r="B355" s="8" t="s">
        <v>458</v>
      </c>
      <c r="C355" s="8" t="s">
        <v>466</v>
      </c>
      <c r="D355" s="7" t="s">
        <v>462</v>
      </c>
      <c r="E355" s="8" t="s">
        <v>51</v>
      </c>
      <c r="F355" s="7">
        <v>650</v>
      </c>
      <c r="G355" s="7">
        <v>1000</v>
      </c>
      <c r="H355" s="7">
        <f>(F355+G355)/2</f>
        <v>825</v>
      </c>
      <c r="I355" s="9">
        <v>5</v>
      </c>
      <c r="J355" s="10" t="s">
        <v>34</v>
      </c>
      <c r="K355" s="8" t="s">
        <v>108</v>
      </c>
      <c r="L355" s="8" t="s">
        <v>109</v>
      </c>
      <c r="M355" s="8" t="s">
        <v>132</v>
      </c>
      <c r="N355" s="8"/>
      <c r="O355" s="8" t="s">
        <v>40</v>
      </c>
      <c r="P355" s="11">
        <v>6</v>
      </c>
      <c r="Q355" s="11">
        <v>4.7</v>
      </c>
      <c r="R355" s="11">
        <v>6.5</v>
      </c>
      <c r="S355" s="11">
        <f>P355*4</f>
        <v>24</v>
      </c>
      <c r="T355" s="11">
        <f>Q355*4</f>
        <v>18.8</v>
      </c>
      <c r="U355" s="11">
        <f>R355*4</f>
        <v>26</v>
      </c>
      <c r="V355" s="12">
        <f>(4/3)*3.14*(U355/2)^3</f>
        <v>9198.1066666666666</v>
      </c>
      <c r="W355" s="12">
        <f>V355/1000</f>
        <v>9.198106666666666</v>
      </c>
    </row>
    <row r="356" spans="1:23" x14ac:dyDescent="0.25">
      <c r="A356" s="7">
        <v>357</v>
      </c>
      <c r="B356" s="8" t="s">
        <v>458</v>
      </c>
      <c r="C356" s="8" t="s">
        <v>467</v>
      </c>
      <c r="D356" s="7" t="s">
        <v>462</v>
      </c>
      <c r="E356" s="8" t="s">
        <v>51</v>
      </c>
      <c r="F356" s="7">
        <v>650</v>
      </c>
      <c r="G356" s="7">
        <v>1000</v>
      </c>
      <c r="H356" s="7">
        <f>(F356+G356)/2</f>
        <v>825</v>
      </c>
      <c r="I356" s="9">
        <v>5</v>
      </c>
      <c r="J356" s="10" t="s">
        <v>65</v>
      </c>
      <c r="K356" s="8" t="s">
        <v>468</v>
      </c>
      <c r="L356" s="8" t="s">
        <v>96</v>
      </c>
      <c r="M356" s="8" t="s">
        <v>39</v>
      </c>
      <c r="N356" s="8"/>
      <c r="O356" s="8" t="s">
        <v>71</v>
      </c>
      <c r="P356" s="11">
        <v>3.4</v>
      </c>
      <c r="Q356" s="11">
        <v>3.3</v>
      </c>
      <c r="R356" s="11">
        <v>3.6</v>
      </c>
      <c r="S356" s="11">
        <f>P356*4</f>
        <v>13.6</v>
      </c>
      <c r="T356" s="11">
        <f>Q356*4</f>
        <v>13.2</v>
      </c>
      <c r="U356" s="11">
        <f>R356*4</f>
        <v>14.4</v>
      </c>
      <c r="V356" s="12">
        <f>(4/3)*3.14*(U356/2)^3</f>
        <v>1562.6649600000001</v>
      </c>
      <c r="W356" s="12">
        <f>V356/1000</f>
        <v>1.56266496</v>
      </c>
    </row>
    <row r="357" spans="1:23" x14ac:dyDescent="0.25">
      <c r="A357" s="7">
        <v>358</v>
      </c>
      <c r="B357" s="8" t="s">
        <v>458</v>
      </c>
      <c r="C357" s="8" t="s">
        <v>469</v>
      </c>
      <c r="D357" s="7" t="s">
        <v>462</v>
      </c>
      <c r="E357" s="8" t="s">
        <v>51</v>
      </c>
      <c r="F357" s="7">
        <v>650</v>
      </c>
      <c r="G357" s="7">
        <v>1000</v>
      </c>
      <c r="H357" s="7">
        <f>(F357+G357)/2</f>
        <v>825</v>
      </c>
      <c r="I357" s="9">
        <v>5</v>
      </c>
      <c r="J357" s="10" t="s">
        <v>26</v>
      </c>
      <c r="K357" s="8" t="s">
        <v>96</v>
      </c>
      <c r="L357" s="8" t="s">
        <v>96</v>
      </c>
      <c r="M357" s="8" t="s">
        <v>39</v>
      </c>
      <c r="N357" s="8"/>
      <c r="O357" s="8" t="s">
        <v>71</v>
      </c>
      <c r="P357" s="11">
        <v>3.1</v>
      </c>
      <c r="Q357" s="11">
        <v>3.5</v>
      </c>
      <c r="R357" s="11">
        <v>4.2</v>
      </c>
      <c r="S357" s="11">
        <f>P357*4</f>
        <v>12.4</v>
      </c>
      <c r="T357" s="11">
        <f>Q357*4</f>
        <v>14</v>
      </c>
      <c r="U357" s="11">
        <f>R357*4</f>
        <v>16.8</v>
      </c>
      <c r="V357" s="12">
        <f>(4/3)*3.14*(U357/2)^3</f>
        <v>2481.45408</v>
      </c>
      <c r="W357" s="12">
        <f>V357/1000</f>
        <v>2.4814540799999998</v>
      </c>
    </row>
    <row r="358" spans="1:23" x14ac:dyDescent="0.25">
      <c r="A358" s="7">
        <v>359</v>
      </c>
      <c r="B358" s="8" t="s">
        <v>458</v>
      </c>
      <c r="C358" s="8" t="s">
        <v>470</v>
      </c>
      <c r="D358" s="7" t="s">
        <v>462</v>
      </c>
      <c r="E358" s="8" t="s">
        <v>51</v>
      </c>
      <c r="F358" s="7">
        <v>650</v>
      </c>
      <c r="G358" s="7">
        <v>1000</v>
      </c>
      <c r="H358" s="7">
        <f>(F358+G358)/2</f>
        <v>825</v>
      </c>
      <c r="I358" s="9">
        <v>4</v>
      </c>
      <c r="J358" s="10" t="s">
        <v>65</v>
      </c>
      <c r="K358" s="8" t="s">
        <v>42</v>
      </c>
      <c r="L358" s="8" t="s">
        <v>43</v>
      </c>
      <c r="M358" s="8" t="s">
        <v>39</v>
      </c>
      <c r="N358" s="8"/>
      <c r="O358" s="8" t="s">
        <v>40</v>
      </c>
      <c r="P358" s="11">
        <v>2.8</v>
      </c>
      <c r="Q358" s="11">
        <v>1.8</v>
      </c>
      <c r="R358" s="11">
        <v>2.8</v>
      </c>
      <c r="S358" s="11">
        <f>P358*4</f>
        <v>11.2</v>
      </c>
      <c r="T358" s="11">
        <f>Q358*4</f>
        <v>7.2</v>
      </c>
      <c r="U358" s="11">
        <f>R358*4</f>
        <v>11.2</v>
      </c>
      <c r="V358" s="12">
        <f>(2/3)*3.14*(U358/2)^3</f>
        <v>367.62282666666658</v>
      </c>
      <c r="W358" s="12">
        <f>V358/1000</f>
        <v>0.36762282666666657</v>
      </c>
    </row>
    <row r="359" spans="1:23" x14ac:dyDescent="0.25">
      <c r="A359" s="7">
        <v>360</v>
      </c>
      <c r="B359" s="8" t="s">
        <v>458</v>
      </c>
      <c r="C359" s="8" t="s">
        <v>471</v>
      </c>
      <c r="D359" s="7" t="s">
        <v>462</v>
      </c>
      <c r="E359" s="8" t="s">
        <v>51</v>
      </c>
      <c r="F359" s="7">
        <v>650</v>
      </c>
      <c r="G359" s="7">
        <v>1000</v>
      </c>
      <c r="H359" s="7">
        <f>(F359+G359)/2</f>
        <v>825</v>
      </c>
      <c r="I359" s="9">
        <v>1</v>
      </c>
      <c r="J359" s="10" t="s">
        <v>65</v>
      </c>
      <c r="K359" s="8" t="s">
        <v>27</v>
      </c>
      <c r="L359" s="8" t="s">
        <v>28</v>
      </c>
      <c r="M359" s="8" t="s">
        <v>39</v>
      </c>
      <c r="N359" s="8"/>
      <c r="O359" s="8" t="s">
        <v>40</v>
      </c>
      <c r="P359" s="11">
        <v>3.5</v>
      </c>
      <c r="Q359" s="11">
        <v>1.1000000000000001</v>
      </c>
      <c r="R359" s="11">
        <v>3.5</v>
      </c>
      <c r="S359" s="11">
        <f>P359*4</f>
        <v>14</v>
      </c>
      <c r="T359" s="11">
        <f>Q359*4</f>
        <v>4.4000000000000004</v>
      </c>
      <c r="U359" s="11">
        <f>R359*4</f>
        <v>14</v>
      </c>
      <c r="V359" s="12">
        <f>(1/3)*3.14*T359^2*(3*(U359/2)-T359)</f>
        <v>336.37354666666675</v>
      </c>
      <c r="W359" s="12">
        <f>V359/1000</f>
        <v>0.33637354666666675</v>
      </c>
    </row>
    <row r="360" spans="1:23" x14ac:dyDescent="0.25">
      <c r="A360" s="7">
        <v>361</v>
      </c>
      <c r="B360" s="8" t="s">
        <v>458</v>
      </c>
      <c r="C360" s="8" t="s">
        <v>472</v>
      </c>
      <c r="D360" s="7" t="s">
        <v>462</v>
      </c>
      <c r="E360" s="8" t="s">
        <v>51</v>
      </c>
      <c r="F360" s="7">
        <v>650</v>
      </c>
      <c r="G360" s="7">
        <v>1000</v>
      </c>
      <c r="H360" s="7">
        <f>(F360+G360)/2</f>
        <v>825</v>
      </c>
      <c r="I360" s="9">
        <v>7</v>
      </c>
      <c r="J360" s="10" t="s">
        <v>34</v>
      </c>
      <c r="K360" s="8" t="s">
        <v>108</v>
      </c>
      <c r="L360" s="8" t="s">
        <v>109</v>
      </c>
      <c r="M360" s="8" t="s">
        <v>39</v>
      </c>
      <c r="N360" s="8"/>
      <c r="O360" s="8" t="s">
        <v>40</v>
      </c>
      <c r="P360" s="11">
        <v>5.3</v>
      </c>
      <c r="Q360" s="11">
        <v>3.2</v>
      </c>
      <c r="R360" s="11">
        <v>6.9</v>
      </c>
      <c r="S360" s="11">
        <f>P360*4</f>
        <v>21.2</v>
      </c>
      <c r="T360" s="11">
        <f>Q360*4</f>
        <v>12.8</v>
      </c>
      <c r="U360" s="11">
        <f>R360*4</f>
        <v>27.6</v>
      </c>
      <c r="V360" s="12">
        <f>4/3*3.14*U360^2*T360</f>
        <v>40822.210560000007</v>
      </c>
      <c r="W360" s="12">
        <f>V360/1000</f>
        <v>40.822210560000009</v>
      </c>
    </row>
    <row r="361" spans="1:23" x14ac:dyDescent="0.25">
      <c r="A361" s="7">
        <v>362</v>
      </c>
      <c r="B361" s="8" t="s">
        <v>458</v>
      </c>
      <c r="C361" s="8" t="s">
        <v>473</v>
      </c>
      <c r="D361" s="7" t="s">
        <v>462</v>
      </c>
      <c r="E361" s="8" t="s">
        <v>51</v>
      </c>
      <c r="F361" s="7">
        <v>650</v>
      </c>
      <c r="G361" s="7">
        <v>1000</v>
      </c>
      <c r="H361" s="7">
        <f>(F361+G361)/2</f>
        <v>825</v>
      </c>
      <c r="I361" s="9">
        <v>10</v>
      </c>
      <c r="J361" s="10" t="s">
        <v>65</v>
      </c>
      <c r="K361" s="8" t="s">
        <v>108</v>
      </c>
      <c r="L361" s="8" t="s">
        <v>109</v>
      </c>
      <c r="M361" s="8" t="s">
        <v>39</v>
      </c>
      <c r="N361" s="8"/>
      <c r="O361" s="8" t="s">
        <v>71</v>
      </c>
      <c r="P361" s="11">
        <v>2</v>
      </c>
      <c r="Q361" s="11">
        <v>3.9</v>
      </c>
      <c r="R361" s="11">
        <v>3.6</v>
      </c>
      <c r="S361" s="11">
        <f>P361*4</f>
        <v>8</v>
      </c>
      <c r="T361" s="11">
        <f>Q361*4</f>
        <v>15.6</v>
      </c>
      <c r="U361" s="11">
        <f>R361*4</f>
        <v>14.4</v>
      </c>
      <c r="V361" s="12">
        <f>4/3*3.14*U361^2*T361</f>
        <v>13543.096320000001</v>
      </c>
      <c r="W361" s="12">
        <f>V361/1000</f>
        <v>13.54309632</v>
      </c>
    </row>
    <row r="362" spans="1:23" x14ac:dyDescent="0.25">
      <c r="A362" s="7">
        <v>363</v>
      </c>
      <c r="B362" s="8" t="s">
        <v>458</v>
      </c>
      <c r="C362" s="8" t="s">
        <v>474</v>
      </c>
      <c r="D362" s="7" t="s">
        <v>462</v>
      </c>
      <c r="E362" s="8" t="s">
        <v>51</v>
      </c>
      <c r="F362" s="7">
        <v>650</v>
      </c>
      <c r="G362" s="7">
        <v>1000</v>
      </c>
      <c r="H362" s="7">
        <f>(F362+G362)/2</f>
        <v>825</v>
      </c>
      <c r="I362" s="9">
        <v>5</v>
      </c>
      <c r="J362" s="10" t="s">
        <v>26</v>
      </c>
      <c r="K362" s="8" t="s">
        <v>468</v>
      </c>
      <c r="L362" s="8" t="s">
        <v>96</v>
      </c>
      <c r="M362" s="8" t="s">
        <v>39</v>
      </c>
      <c r="N362" s="8"/>
      <c r="O362" s="8" t="s">
        <v>71</v>
      </c>
      <c r="P362" s="11">
        <v>3.3</v>
      </c>
      <c r="Q362" s="11">
        <v>3.8</v>
      </c>
      <c r="R362" s="11">
        <v>3.9</v>
      </c>
      <c r="S362" s="11">
        <f>P362*4</f>
        <v>13.2</v>
      </c>
      <c r="T362" s="11">
        <f>Q362*4</f>
        <v>15.2</v>
      </c>
      <c r="U362" s="11">
        <f>R362*4</f>
        <v>15.6</v>
      </c>
      <c r="V362" s="12">
        <f>(4/3)*3.14*(U362/2)^3</f>
        <v>1986.7910399999998</v>
      </c>
      <c r="W362" s="12">
        <f>V362/1000</f>
        <v>1.9867910399999997</v>
      </c>
    </row>
    <row r="363" spans="1:23" x14ac:dyDescent="0.25">
      <c r="A363" s="7">
        <v>364</v>
      </c>
      <c r="B363" s="8" t="s">
        <v>458</v>
      </c>
      <c r="C363" s="8" t="s">
        <v>475</v>
      </c>
      <c r="D363" s="7" t="s">
        <v>462</v>
      </c>
      <c r="E363" s="8" t="s">
        <v>51</v>
      </c>
      <c r="F363" s="7">
        <v>650</v>
      </c>
      <c r="G363" s="7">
        <v>1000</v>
      </c>
      <c r="H363" s="7">
        <f>(F363+G363)/2</f>
        <v>825</v>
      </c>
      <c r="I363" s="9">
        <v>5</v>
      </c>
      <c r="J363" s="10" t="s">
        <v>26</v>
      </c>
      <c r="K363" s="8" t="s">
        <v>468</v>
      </c>
      <c r="L363" s="8" t="s">
        <v>96</v>
      </c>
      <c r="M363" s="8" t="s">
        <v>39</v>
      </c>
      <c r="N363" s="8"/>
      <c r="O363" s="8" t="s">
        <v>71</v>
      </c>
      <c r="P363" s="11">
        <v>3.4</v>
      </c>
      <c r="Q363" s="11">
        <v>4.5</v>
      </c>
      <c r="R363" s="11">
        <v>4</v>
      </c>
      <c r="S363" s="11">
        <f>P363*4</f>
        <v>13.6</v>
      </c>
      <c r="T363" s="11">
        <f>Q363*4</f>
        <v>18</v>
      </c>
      <c r="U363" s="11">
        <f>R363*4</f>
        <v>16</v>
      </c>
      <c r="V363" s="12">
        <f>(4/3)*3.14*(U363/2)^3</f>
        <v>2143.5733333333333</v>
      </c>
      <c r="W363" s="12">
        <f>V363/1000</f>
        <v>2.1435733333333333</v>
      </c>
    </row>
    <row r="364" spans="1:23" x14ac:dyDescent="0.25">
      <c r="A364" s="7">
        <v>365</v>
      </c>
      <c r="B364" s="8" t="s">
        <v>458</v>
      </c>
      <c r="C364" s="8" t="s">
        <v>476</v>
      </c>
      <c r="D364" s="7" t="s">
        <v>462</v>
      </c>
      <c r="E364" s="8" t="s">
        <v>51</v>
      </c>
      <c r="F364" s="7">
        <v>650</v>
      </c>
      <c r="G364" s="7">
        <v>1000</v>
      </c>
      <c r="H364" s="7">
        <f>(F364+G364)/2</f>
        <v>825</v>
      </c>
      <c r="I364" s="9">
        <v>7</v>
      </c>
      <c r="J364" s="10" t="s">
        <v>26</v>
      </c>
      <c r="K364" s="8" t="s">
        <v>468</v>
      </c>
      <c r="L364" s="8" t="s">
        <v>96</v>
      </c>
      <c r="M364" s="8" t="s">
        <v>39</v>
      </c>
      <c r="N364" s="8"/>
      <c r="O364" s="8" t="s">
        <v>71</v>
      </c>
      <c r="P364" s="11">
        <v>3.5</v>
      </c>
      <c r="Q364" s="11">
        <v>3</v>
      </c>
      <c r="R364" s="11">
        <v>4.0999999999999996</v>
      </c>
      <c r="S364" s="11">
        <f>P364*4</f>
        <v>14</v>
      </c>
      <c r="T364" s="11">
        <f>Q364*4</f>
        <v>12</v>
      </c>
      <c r="U364" s="11">
        <f>R364*4</f>
        <v>16.399999999999999</v>
      </c>
      <c r="V364" s="12">
        <f>4/3*3.14*U364^2*T364</f>
        <v>13512.5504</v>
      </c>
      <c r="W364" s="12">
        <f>V364/1000</f>
        <v>13.5125504</v>
      </c>
    </row>
    <row r="365" spans="1:23" x14ac:dyDescent="0.25">
      <c r="A365" s="7">
        <v>366</v>
      </c>
      <c r="B365" s="8" t="s">
        <v>458</v>
      </c>
      <c r="C365" s="8" t="s">
        <v>477</v>
      </c>
      <c r="D365" s="7" t="s">
        <v>462</v>
      </c>
      <c r="E365" s="8" t="s">
        <v>51</v>
      </c>
      <c r="F365" s="7">
        <v>650</v>
      </c>
      <c r="G365" s="7">
        <v>1000</v>
      </c>
      <c r="H365" s="7">
        <f>(F365+G365)/2</f>
        <v>825</v>
      </c>
      <c r="I365" s="9">
        <v>5</v>
      </c>
      <c r="J365" s="10" t="s">
        <v>65</v>
      </c>
      <c r="K365" s="8" t="s">
        <v>42</v>
      </c>
      <c r="L365" s="8" t="s">
        <v>43</v>
      </c>
      <c r="M365" s="8" t="s">
        <v>39</v>
      </c>
      <c r="N365" s="8"/>
      <c r="O365" s="8" t="s">
        <v>40</v>
      </c>
      <c r="P365" s="11">
        <v>2.8</v>
      </c>
      <c r="Q365" s="11">
        <v>3.7</v>
      </c>
      <c r="R365" s="11">
        <v>3.4</v>
      </c>
      <c r="S365" s="11">
        <f>P365*4</f>
        <v>11.2</v>
      </c>
      <c r="T365" s="11">
        <f>Q365*4</f>
        <v>14.8</v>
      </c>
      <c r="U365" s="11">
        <f>R365*4</f>
        <v>13.6</v>
      </c>
      <c r="V365" s="12">
        <f>(4/3)*3.14*(U365/2)^3</f>
        <v>1316.4219733333332</v>
      </c>
      <c r="W365" s="12">
        <f>V365/1000</f>
        <v>1.3164219733333331</v>
      </c>
    </row>
    <row r="366" spans="1:23" x14ac:dyDescent="0.25">
      <c r="A366" s="7">
        <v>367</v>
      </c>
      <c r="B366" s="8" t="s">
        <v>458</v>
      </c>
      <c r="C366" s="8" t="s">
        <v>478</v>
      </c>
      <c r="D366" s="7" t="s">
        <v>462</v>
      </c>
      <c r="E366" s="8" t="s">
        <v>51</v>
      </c>
      <c r="F366" s="7">
        <v>650</v>
      </c>
      <c r="G366" s="7">
        <v>1000</v>
      </c>
      <c r="H366" s="7">
        <f>(F366+G366)/2</f>
        <v>825</v>
      </c>
      <c r="I366" s="9">
        <v>5</v>
      </c>
      <c r="J366" s="10" t="s">
        <v>65</v>
      </c>
      <c r="K366" s="8" t="s">
        <v>42</v>
      </c>
      <c r="L366" s="8" t="s">
        <v>43</v>
      </c>
      <c r="M366" s="8" t="s">
        <v>39</v>
      </c>
      <c r="N366" s="8"/>
      <c r="O366" s="8" t="s">
        <v>40</v>
      </c>
      <c r="P366" s="11">
        <v>3</v>
      </c>
      <c r="Q366" s="11">
        <v>3.3</v>
      </c>
      <c r="R366" s="11">
        <v>3.3</v>
      </c>
      <c r="S366" s="11">
        <f>P366*4</f>
        <v>12</v>
      </c>
      <c r="T366" s="11">
        <f>Q366*4</f>
        <v>13.2</v>
      </c>
      <c r="U366" s="11">
        <f>R366*4</f>
        <v>13.2</v>
      </c>
      <c r="V366" s="12">
        <f>(4/3)*3.14*(U366/2)^3</f>
        <v>1203.6499199999998</v>
      </c>
      <c r="W366" s="12">
        <f>V366/1000</f>
        <v>1.2036499199999999</v>
      </c>
    </row>
    <row r="367" spans="1:23" x14ac:dyDescent="0.25">
      <c r="A367" s="7">
        <v>368</v>
      </c>
      <c r="B367" s="8" t="s">
        <v>458</v>
      </c>
      <c r="C367" s="8" t="s">
        <v>479</v>
      </c>
      <c r="D367" s="7" t="s">
        <v>462</v>
      </c>
      <c r="E367" s="8" t="s">
        <v>51</v>
      </c>
      <c r="F367" s="7">
        <v>650</v>
      </c>
      <c r="G367" s="7">
        <v>1000</v>
      </c>
      <c r="H367" s="7">
        <f>(F367+G367)/2</f>
        <v>825</v>
      </c>
      <c r="I367" s="9">
        <v>5</v>
      </c>
      <c r="J367" s="10" t="s">
        <v>26</v>
      </c>
      <c r="K367" s="8" t="s">
        <v>108</v>
      </c>
      <c r="L367" s="8" t="s">
        <v>109</v>
      </c>
      <c r="M367" s="8" t="s">
        <v>39</v>
      </c>
      <c r="N367" s="8"/>
      <c r="O367" s="8" t="s">
        <v>40</v>
      </c>
      <c r="P367" s="11">
        <v>2.7</v>
      </c>
      <c r="Q367" s="11">
        <v>4.8</v>
      </c>
      <c r="R367" s="11">
        <v>4.9000000000000004</v>
      </c>
      <c r="S367" s="11">
        <f>P367*4</f>
        <v>10.8</v>
      </c>
      <c r="T367" s="11">
        <f>Q367*4</f>
        <v>19.2</v>
      </c>
      <c r="U367" s="11">
        <f>R367*4</f>
        <v>19.600000000000001</v>
      </c>
      <c r="V367" s="12">
        <f>(4/3)*3.14*(U367/2)^3</f>
        <v>3940.4571733333341</v>
      </c>
      <c r="W367" s="12">
        <f>V367/1000</f>
        <v>3.9404571733333342</v>
      </c>
    </row>
    <row r="368" spans="1:23" x14ac:dyDescent="0.25">
      <c r="A368" s="7">
        <v>369</v>
      </c>
      <c r="B368" s="8" t="s">
        <v>458</v>
      </c>
      <c r="C368" s="8" t="s">
        <v>480</v>
      </c>
      <c r="D368" s="7" t="s">
        <v>462</v>
      </c>
      <c r="E368" s="8" t="s">
        <v>51</v>
      </c>
      <c r="F368" s="7">
        <v>650</v>
      </c>
      <c r="G368" s="7">
        <v>1000</v>
      </c>
      <c r="H368" s="7">
        <f>(F368+G368)/2</f>
        <v>825</v>
      </c>
      <c r="I368" s="9">
        <v>5</v>
      </c>
      <c r="J368" s="10" t="s">
        <v>34</v>
      </c>
      <c r="K368" s="8" t="s">
        <v>295</v>
      </c>
      <c r="L368" s="8" t="s">
        <v>43</v>
      </c>
      <c r="M368" s="8" t="s">
        <v>39</v>
      </c>
      <c r="N368" s="8"/>
      <c r="O368" s="8" t="s">
        <v>40</v>
      </c>
      <c r="P368" s="11">
        <v>4.4000000000000004</v>
      </c>
      <c r="Q368" s="11">
        <v>6.5</v>
      </c>
      <c r="R368" s="11">
        <v>7</v>
      </c>
      <c r="S368" s="11">
        <f>P368*4</f>
        <v>17.600000000000001</v>
      </c>
      <c r="T368" s="11">
        <f>Q368*4</f>
        <v>26</v>
      </c>
      <c r="U368" s="11">
        <f>R368*4</f>
        <v>28</v>
      </c>
      <c r="V368" s="12">
        <f>(4/3)*3.14*(U368/2)^3</f>
        <v>11488.213333333333</v>
      </c>
      <c r="W368" s="12">
        <f>V368/1000</f>
        <v>11.488213333333332</v>
      </c>
    </row>
    <row r="369" spans="1:23" x14ac:dyDescent="0.25">
      <c r="A369" s="7">
        <v>370</v>
      </c>
      <c r="B369" s="8" t="s">
        <v>458</v>
      </c>
      <c r="C369" s="8" t="s">
        <v>481</v>
      </c>
      <c r="D369" s="7" t="s">
        <v>462</v>
      </c>
      <c r="E369" s="8" t="s">
        <v>51</v>
      </c>
      <c r="F369" s="7">
        <v>650</v>
      </c>
      <c r="G369" s="7">
        <v>1000</v>
      </c>
      <c r="H369" s="7">
        <f>(F369+G369)/2</f>
        <v>825</v>
      </c>
      <c r="I369" s="9">
        <v>5</v>
      </c>
      <c r="J369" s="10" t="s">
        <v>26</v>
      </c>
      <c r="K369" s="8" t="s">
        <v>468</v>
      </c>
      <c r="L369" s="8" t="s">
        <v>96</v>
      </c>
      <c r="M369" s="8" t="s">
        <v>39</v>
      </c>
      <c r="N369" s="8"/>
      <c r="O369" s="8" t="s">
        <v>40</v>
      </c>
      <c r="P369" s="11">
        <v>4.2</v>
      </c>
      <c r="Q369" s="11">
        <v>7.6</v>
      </c>
      <c r="R369" s="11">
        <v>5.2</v>
      </c>
      <c r="S369" s="11">
        <f>P369*4</f>
        <v>16.8</v>
      </c>
      <c r="T369" s="11">
        <f>Q369*4</f>
        <v>30.4</v>
      </c>
      <c r="U369" s="11">
        <f>R369*4</f>
        <v>20.8</v>
      </c>
      <c r="V369" s="12">
        <f>(4/3)*3.14*(U369/2)^3</f>
        <v>4709.4306133333339</v>
      </c>
      <c r="W369" s="12">
        <f>V369/1000</f>
        <v>4.7094306133333337</v>
      </c>
    </row>
    <row r="370" spans="1:23" x14ac:dyDescent="0.25">
      <c r="A370" s="7">
        <v>371</v>
      </c>
      <c r="B370" s="8" t="s">
        <v>458</v>
      </c>
      <c r="C370" s="8" t="s">
        <v>482</v>
      </c>
      <c r="D370" s="7" t="s">
        <v>462</v>
      </c>
      <c r="E370" s="8" t="s">
        <v>51</v>
      </c>
      <c r="F370" s="7">
        <v>650</v>
      </c>
      <c r="G370" s="7">
        <v>1000</v>
      </c>
      <c r="H370" s="7">
        <f>(F370+G370)/2</f>
        <v>825</v>
      </c>
      <c r="I370" s="9">
        <v>7</v>
      </c>
      <c r="J370" s="10" t="s">
        <v>26</v>
      </c>
      <c r="K370" s="8" t="s">
        <v>27</v>
      </c>
      <c r="L370" s="8" t="s">
        <v>28</v>
      </c>
      <c r="M370" s="8" t="s">
        <v>39</v>
      </c>
      <c r="N370" s="8"/>
      <c r="O370" s="8" t="s">
        <v>71</v>
      </c>
      <c r="P370" s="11">
        <v>3.4</v>
      </c>
      <c r="Q370" s="11">
        <v>2.8</v>
      </c>
      <c r="R370" s="11">
        <v>5.0999999999999996</v>
      </c>
      <c r="S370" s="11">
        <f>P370*4</f>
        <v>13.6</v>
      </c>
      <c r="T370" s="11">
        <f>Q370*4</f>
        <v>11.2</v>
      </c>
      <c r="U370" s="11">
        <f>R370*4</f>
        <v>20.399999999999999</v>
      </c>
      <c r="V370" s="12">
        <f>4/3*3.14*U370^2*T370</f>
        <v>19514.019839999997</v>
      </c>
      <c r="W370" s="12">
        <f>V370/1000</f>
        <v>19.514019839999996</v>
      </c>
    </row>
    <row r="371" spans="1:23" x14ac:dyDescent="0.25">
      <c r="A371" s="7">
        <v>372</v>
      </c>
      <c r="B371" s="8" t="s">
        <v>458</v>
      </c>
      <c r="C371" s="8" t="s">
        <v>483</v>
      </c>
      <c r="D371" s="7" t="s">
        <v>462</v>
      </c>
      <c r="E371" s="8" t="s">
        <v>51</v>
      </c>
      <c r="F371" s="7">
        <v>650</v>
      </c>
      <c r="G371" s="7">
        <v>1000</v>
      </c>
      <c r="H371" s="7">
        <f>(F371+G371)/2</f>
        <v>825</v>
      </c>
      <c r="I371" s="9">
        <v>7</v>
      </c>
      <c r="J371" s="10" t="s">
        <v>26</v>
      </c>
      <c r="K371" s="8" t="s">
        <v>27</v>
      </c>
      <c r="L371" s="8" t="s">
        <v>28</v>
      </c>
      <c r="M371" s="8" t="s">
        <v>39</v>
      </c>
      <c r="N371" s="8"/>
      <c r="O371" s="8" t="s">
        <v>71</v>
      </c>
      <c r="P371" s="11">
        <v>2.9</v>
      </c>
      <c r="Q371" s="11">
        <v>2.6</v>
      </c>
      <c r="R371" s="11">
        <v>4.7</v>
      </c>
      <c r="S371" s="11">
        <f>P371*4</f>
        <v>11.6</v>
      </c>
      <c r="T371" s="11">
        <f>Q371*4</f>
        <v>10.4</v>
      </c>
      <c r="U371" s="11">
        <f>R371*4</f>
        <v>18.8</v>
      </c>
      <c r="V371" s="12">
        <f>4/3*3.14*U371^2*T371</f>
        <v>15389.248853333334</v>
      </c>
      <c r="W371" s="12">
        <f>V371/1000</f>
        <v>15.389248853333335</v>
      </c>
    </row>
    <row r="372" spans="1:23" x14ac:dyDescent="0.25">
      <c r="A372" s="7">
        <v>373</v>
      </c>
      <c r="B372" s="8" t="s">
        <v>458</v>
      </c>
      <c r="C372" s="8" t="s">
        <v>484</v>
      </c>
      <c r="D372" s="7" t="s">
        <v>462</v>
      </c>
      <c r="E372" s="8" t="s">
        <v>51</v>
      </c>
      <c r="F372" s="7">
        <v>650</v>
      </c>
      <c r="G372" s="7">
        <v>1000</v>
      </c>
      <c r="H372" s="7">
        <f>(F372+G372)/2</f>
        <v>825</v>
      </c>
      <c r="I372" s="9">
        <v>7</v>
      </c>
      <c r="J372" s="10" t="s">
        <v>26</v>
      </c>
      <c r="K372" s="8" t="s">
        <v>42</v>
      </c>
      <c r="L372" s="8" t="s">
        <v>43</v>
      </c>
      <c r="M372" s="8" t="s">
        <v>39</v>
      </c>
      <c r="N372" s="8"/>
      <c r="O372" s="8" t="s">
        <v>71</v>
      </c>
      <c r="P372" s="11">
        <v>3.4</v>
      </c>
      <c r="Q372" s="11">
        <v>2.7</v>
      </c>
      <c r="R372" s="11">
        <v>4.5</v>
      </c>
      <c r="S372" s="11">
        <f>P372*4</f>
        <v>13.6</v>
      </c>
      <c r="T372" s="11">
        <f>Q372*4</f>
        <v>10.8</v>
      </c>
      <c r="U372" s="11">
        <f>R372*4</f>
        <v>18</v>
      </c>
      <c r="V372" s="12">
        <f>4/3*3.14*U372^2*T372</f>
        <v>14649.984</v>
      </c>
      <c r="W372" s="12">
        <f>V372/1000</f>
        <v>14.649984</v>
      </c>
    </row>
    <row r="373" spans="1:23" x14ac:dyDescent="0.25">
      <c r="A373" s="7">
        <v>374</v>
      </c>
      <c r="B373" s="8" t="s">
        <v>458</v>
      </c>
      <c r="C373" s="8" t="s">
        <v>485</v>
      </c>
      <c r="D373" s="7" t="s">
        <v>462</v>
      </c>
      <c r="E373" s="8" t="s">
        <v>51</v>
      </c>
      <c r="F373" s="7">
        <v>650</v>
      </c>
      <c r="G373" s="7">
        <v>1000</v>
      </c>
      <c r="H373" s="7">
        <f>(F373+G373)/2</f>
        <v>825</v>
      </c>
      <c r="I373" s="9">
        <v>7</v>
      </c>
      <c r="J373" s="10" t="s">
        <v>26</v>
      </c>
      <c r="K373" s="8" t="s">
        <v>42</v>
      </c>
      <c r="L373" s="8" t="s">
        <v>43</v>
      </c>
      <c r="M373" s="8" t="s">
        <v>39</v>
      </c>
      <c r="N373" s="8"/>
      <c r="O373" s="8" t="s">
        <v>71</v>
      </c>
      <c r="P373" s="11">
        <v>3.1</v>
      </c>
      <c r="Q373" s="11">
        <v>2.5</v>
      </c>
      <c r="R373" s="11">
        <v>4.5</v>
      </c>
      <c r="S373" s="11">
        <f>P373*4</f>
        <v>12.4</v>
      </c>
      <c r="T373" s="11">
        <f>Q373*4</f>
        <v>10</v>
      </c>
      <c r="U373" s="11">
        <f>R373*4</f>
        <v>18</v>
      </c>
      <c r="V373" s="12">
        <f>4/3*3.14*U373^2*T373</f>
        <v>13564.8</v>
      </c>
      <c r="W373" s="12">
        <f>V373/1000</f>
        <v>13.5648</v>
      </c>
    </row>
    <row r="374" spans="1:23" x14ac:dyDescent="0.25">
      <c r="A374" s="7">
        <v>375</v>
      </c>
      <c r="B374" s="8" t="s">
        <v>458</v>
      </c>
      <c r="C374" s="8" t="s">
        <v>486</v>
      </c>
      <c r="D374" s="7" t="s">
        <v>462</v>
      </c>
      <c r="E374" s="8" t="s">
        <v>51</v>
      </c>
      <c r="F374" s="7">
        <v>650</v>
      </c>
      <c r="G374" s="7">
        <v>1000</v>
      </c>
      <c r="H374" s="7">
        <f>(F374+G374)/2</f>
        <v>825</v>
      </c>
      <c r="I374" s="9">
        <v>5</v>
      </c>
      <c r="J374" s="10" t="s">
        <v>26</v>
      </c>
      <c r="K374" s="8" t="s">
        <v>295</v>
      </c>
      <c r="L374" s="8" t="s">
        <v>43</v>
      </c>
      <c r="M374" s="8" t="s">
        <v>39</v>
      </c>
      <c r="N374" s="8"/>
      <c r="O374" s="8" t="s">
        <v>40</v>
      </c>
      <c r="P374" s="11">
        <v>2.5</v>
      </c>
      <c r="Q374" s="11">
        <v>4.8</v>
      </c>
      <c r="R374" s="11">
        <v>4.7</v>
      </c>
      <c r="S374" s="11">
        <f>P374*4</f>
        <v>10</v>
      </c>
      <c r="T374" s="11">
        <f>Q374*4</f>
        <v>19.2</v>
      </c>
      <c r="U374" s="11">
        <f>R374*4</f>
        <v>18.8</v>
      </c>
      <c r="V374" s="12">
        <f>(4/3)*3.14*(U374/2)^3</f>
        <v>3477.3783466666673</v>
      </c>
      <c r="W374" s="12">
        <f>V374/1000</f>
        <v>3.4773783466666672</v>
      </c>
    </row>
    <row r="375" spans="1:23" x14ac:dyDescent="0.25">
      <c r="A375" s="7">
        <v>376</v>
      </c>
      <c r="B375" s="8" t="s">
        <v>458</v>
      </c>
      <c r="C375" s="8" t="s">
        <v>487</v>
      </c>
      <c r="D375" s="7" t="s">
        <v>462</v>
      </c>
      <c r="E375" s="8" t="s">
        <v>51</v>
      </c>
      <c r="F375" s="7">
        <v>650</v>
      </c>
      <c r="G375" s="7">
        <v>1000</v>
      </c>
      <c r="H375" s="7">
        <f>(F375+G375)/2</f>
        <v>825</v>
      </c>
      <c r="I375" s="9">
        <v>6</v>
      </c>
      <c r="J375" s="10" t="s">
        <v>26</v>
      </c>
      <c r="K375" s="8" t="s">
        <v>42</v>
      </c>
      <c r="L375" s="8" t="s">
        <v>43</v>
      </c>
      <c r="M375" s="8" t="s">
        <v>39</v>
      </c>
      <c r="N375" s="8"/>
      <c r="O375" s="8" t="s">
        <v>40</v>
      </c>
      <c r="P375" s="11">
        <v>2.2000000000000002</v>
      </c>
      <c r="Q375" s="11">
        <v>3.7</v>
      </c>
      <c r="R375" s="11">
        <v>4.5</v>
      </c>
      <c r="S375" s="11">
        <f>P375*4</f>
        <v>8.8000000000000007</v>
      </c>
      <c r="T375" s="11">
        <f>Q375*4</f>
        <v>14.8</v>
      </c>
      <c r="U375" s="11">
        <f>R375*4</f>
        <v>18</v>
      </c>
      <c r="V375" s="12">
        <f>(4/3)*3.14*(U375/2)^3</f>
        <v>3052.08</v>
      </c>
      <c r="W375" s="12">
        <f>V375/1000</f>
        <v>3.0520800000000001</v>
      </c>
    </row>
    <row r="376" spans="1:23" x14ac:dyDescent="0.25">
      <c r="A376" s="7">
        <v>377</v>
      </c>
      <c r="B376" s="8" t="s">
        <v>458</v>
      </c>
      <c r="C376" s="8" t="s">
        <v>488</v>
      </c>
      <c r="D376" s="7" t="s">
        <v>462</v>
      </c>
      <c r="E376" s="8" t="s">
        <v>51</v>
      </c>
      <c r="F376" s="7">
        <v>650</v>
      </c>
      <c r="G376" s="7">
        <v>1000</v>
      </c>
      <c r="H376" s="7">
        <f>(F376+G376)/2</f>
        <v>825</v>
      </c>
      <c r="I376" s="9">
        <v>4</v>
      </c>
      <c r="J376" s="10" t="s">
        <v>34</v>
      </c>
      <c r="K376" s="8" t="s">
        <v>27</v>
      </c>
      <c r="L376" s="8" t="s">
        <v>28</v>
      </c>
      <c r="M376" s="8" t="s">
        <v>39</v>
      </c>
      <c r="N376" s="8"/>
      <c r="O376" s="8" t="s">
        <v>40</v>
      </c>
      <c r="P376" s="11">
        <v>7.3</v>
      </c>
      <c r="Q376" s="11">
        <v>4.3</v>
      </c>
      <c r="R376" s="11">
        <v>7.3</v>
      </c>
      <c r="S376" s="11">
        <f>P376*4</f>
        <v>29.2</v>
      </c>
      <c r="T376" s="11">
        <f>Q376*4</f>
        <v>17.2</v>
      </c>
      <c r="U376" s="11">
        <f>R376*4</f>
        <v>29.2</v>
      </c>
      <c r="V376" s="12">
        <f>(2/3)*3.14*(U376/2)^3</f>
        <v>6514.738026666666</v>
      </c>
      <c r="W376" s="12">
        <f>V376/1000</f>
        <v>6.5147380266666657</v>
      </c>
    </row>
    <row r="377" spans="1:23" x14ac:dyDescent="0.25">
      <c r="A377" s="7">
        <v>378</v>
      </c>
      <c r="B377" s="8" t="s">
        <v>458</v>
      </c>
      <c r="C377" s="8" t="s">
        <v>489</v>
      </c>
      <c r="D377" s="7" t="s">
        <v>462</v>
      </c>
      <c r="E377" s="8" t="s">
        <v>51</v>
      </c>
      <c r="F377" s="7">
        <v>650</v>
      </c>
      <c r="G377" s="7">
        <v>1000</v>
      </c>
      <c r="H377" s="7">
        <f>(F377+G377)/2</f>
        <v>825</v>
      </c>
      <c r="I377" s="9">
        <v>4</v>
      </c>
      <c r="J377" s="10" t="s">
        <v>34</v>
      </c>
      <c r="K377" s="8" t="s">
        <v>108</v>
      </c>
      <c r="L377" s="8" t="s">
        <v>109</v>
      </c>
      <c r="M377" s="8" t="s">
        <v>39</v>
      </c>
      <c r="N377" s="8"/>
      <c r="O377" s="8" t="s">
        <v>71</v>
      </c>
      <c r="P377" s="11">
        <v>7.4</v>
      </c>
      <c r="Q377" s="11">
        <v>3.8</v>
      </c>
      <c r="R377" s="11">
        <v>7.4</v>
      </c>
      <c r="S377" s="11">
        <f>P377*4</f>
        <v>29.6</v>
      </c>
      <c r="T377" s="11">
        <f>Q377*4</f>
        <v>15.2</v>
      </c>
      <c r="U377" s="11">
        <f>R377*4</f>
        <v>29.6</v>
      </c>
      <c r="V377" s="12">
        <f>(2/3)*3.14*(U377/2)^3</f>
        <v>6786.1512533333344</v>
      </c>
      <c r="W377" s="12">
        <f>V377/1000</f>
        <v>6.7861512533333341</v>
      </c>
    </row>
    <row r="378" spans="1:23" x14ac:dyDescent="0.25">
      <c r="A378" s="7">
        <v>379</v>
      </c>
      <c r="B378" s="8" t="s">
        <v>490</v>
      </c>
      <c r="C378" s="8" t="s">
        <v>491</v>
      </c>
      <c r="D378" s="7" t="s">
        <v>492</v>
      </c>
      <c r="E378" s="8" t="s">
        <v>51</v>
      </c>
      <c r="F378" s="7">
        <v>340</v>
      </c>
      <c r="G378" s="7">
        <v>1295</v>
      </c>
      <c r="H378" s="7">
        <f>(F378+G378)/2</f>
        <v>817.5</v>
      </c>
      <c r="I378" s="9">
        <v>7</v>
      </c>
      <c r="J378" s="10" t="s">
        <v>34</v>
      </c>
      <c r="K378" s="8" t="s">
        <v>68</v>
      </c>
      <c r="L378" s="8" t="s">
        <v>28</v>
      </c>
      <c r="M378" s="8" t="s">
        <v>39</v>
      </c>
      <c r="N378" s="8"/>
      <c r="O378" s="8" t="s">
        <v>40</v>
      </c>
      <c r="P378" s="11">
        <v>5.6</v>
      </c>
      <c r="Q378" s="11">
        <v>4.7</v>
      </c>
      <c r="R378" s="11">
        <v>8.3000000000000007</v>
      </c>
      <c r="S378" s="11">
        <f>P378*4</f>
        <v>22.4</v>
      </c>
      <c r="T378" s="11">
        <f>Q378*4</f>
        <v>18.8</v>
      </c>
      <c r="U378" s="11">
        <f>R378*4</f>
        <v>33.200000000000003</v>
      </c>
      <c r="V378" s="12">
        <f>4/3*3.14*U378^2*T378</f>
        <v>86756.57557333335</v>
      </c>
      <c r="W378" s="12">
        <f>V378/1000</f>
        <v>86.75657557333335</v>
      </c>
    </row>
    <row r="379" spans="1:23" x14ac:dyDescent="0.25">
      <c r="A379" s="7">
        <v>380</v>
      </c>
      <c r="B379" s="8" t="s">
        <v>490</v>
      </c>
      <c r="C379" s="8" t="s">
        <v>493</v>
      </c>
      <c r="D379" s="7" t="s">
        <v>492</v>
      </c>
      <c r="E379" s="8" t="s">
        <v>51</v>
      </c>
      <c r="F379" s="7">
        <v>340</v>
      </c>
      <c r="G379" s="7">
        <v>1295</v>
      </c>
      <c r="H379" s="7">
        <f>(F379+G379)/2</f>
        <v>817.5</v>
      </c>
      <c r="I379" s="9">
        <v>5</v>
      </c>
      <c r="J379" s="10" t="s">
        <v>26</v>
      </c>
      <c r="K379" s="8" t="s">
        <v>42</v>
      </c>
      <c r="L379" s="8" t="s">
        <v>43</v>
      </c>
      <c r="M379" s="8" t="s">
        <v>39</v>
      </c>
      <c r="N379" s="8"/>
      <c r="O379" s="8" t="s">
        <v>71</v>
      </c>
      <c r="P379" s="11">
        <v>2.4</v>
      </c>
      <c r="Q379" s="11">
        <v>4.8</v>
      </c>
      <c r="R379" s="11">
        <v>4.2</v>
      </c>
      <c r="S379" s="11">
        <f>P379*4</f>
        <v>9.6</v>
      </c>
      <c r="T379" s="11">
        <f>Q379*4</f>
        <v>19.2</v>
      </c>
      <c r="U379" s="11">
        <f>R379*4</f>
        <v>16.8</v>
      </c>
      <c r="V379" s="12">
        <f>(4/3)*3.14*(U379/2)^3</f>
        <v>2481.45408</v>
      </c>
      <c r="W379" s="12">
        <f>V379/1000</f>
        <v>2.4814540799999998</v>
      </c>
    </row>
    <row r="380" spans="1:23" x14ac:dyDescent="0.25">
      <c r="A380" s="7">
        <v>381</v>
      </c>
      <c r="B380" s="8" t="s">
        <v>490</v>
      </c>
      <c r="C380" s="8" t="s">
        <v>494</v>
      </c>
      <c r="D380" s="7" t="s">
        <v>492</v>
      </c>
      <c r="E380" s="8" t="s">
        <v>51</v>
      </c>
      <c r="F380" s="7">
        <v>340</v>
      </c>
      <c r="G380" s="7">
        <v>1295</v>
      </c>
      <c r="H380" s="7">
        <f>(F380+G380)/2</f>
        <v>817.5</v>
      </c>
      <c r="I380" s="9">
        <v>2</v>
      </c>
      <c r="J380" s="10" t="s">
        <v>65</v>
      </c>
      <c r="K380" s="8" t="s">
        <v>108</v>
      </c>
      <c r="L380" s="8" t="s">
        <v>109</v>
      </c>
      <c r="M380" s="8" t="s">
        <v>437</v>
      </c>
      <c r="N380" s="8"/>
      <c r="O380" s="8" t="s">
        <v>71</v>
      </c>
      <c r="P380" s="11">
        <v>3.6</v>
      </c>
      <c r="Q380" s="11">
        <v>2.5</v>
      </c>
      <c r="R380" s="11">
        <v>3.6</v>
      </c>
      <c r="S380" s="11">
        <f>P380*4</f>
        <v>14.4</v>
      </c>
      <c r="T380" s="11">
        <f>Q380*4</f>
        <v>10</v>
      </c>
      <c r="U380" s="11">
        <f>R380*4</f>
        <v>14.4</v>
      </c>
      <c r="V380" s="12">
        <f>(1/3)*3.14*T380^2*(3*(U380/2)-T380)</f>
        <v>1214.1333333333334</v>
      </c>
      <c r="W380" s="12">
        <f>V380/1000</f>
        <v>1.2141333333333335</v>
      </c>
    </row>
    <row r="381" spans="1:23" x14ac:dyDescent="0.25">
      <c r="A381" s="7">
        <v>382</v>
      </c>
      <c r="B381" s="8" t="s">
        <v>490</v>
      </c>
      <c r="C381" s="8" t="s">
        <v>495</v>
      </c>
      <c r="D381" s="7" t="s">
        <v>492</v>
      </c>
      <c r="E381" s="8" t="s">
        <v>51</v>
      </c>
      <c r="F381" s="7">
        <v>340</v>
      </c>
      <c r="G381" s="7">
        <v>1295</v>
      </c>
      <c r="H381" s="7">
        <f>(F381+G381)/2</f>
        <v>817.5</v>
      </c>
      <c r="I381" s="9">
        <v>2</v>
      </c>
      <c r="J381" s="10" t="s">
        <v>26</v>
      </c>
      <c r="K381" s="8" t="s">
        <v>27</v>
      </c>
      <c r="L381" s="8" t="s">
        <v>28</v>
      </c>
      <c r="M381" s="8" t="s">
        <v>315</v>
      </c>
      <c r="N381" s="8"/>
      <c r="O381" s="8" t="s">
        <v>40</v>
      </c>
      <c r="P381" s="11">
        <v>5.0999999999999996</v>
      </c>
      <c r="Q381" s="11">
        <v>2.7</v>
      </c>
      <c r="R381" s="11">
        <v>5.0999999999999996</v>
      </c>
      <c r="S381" s="11">
        <f>P381*4</f>
        <v>20.399999999999999</v>
      </c>
      <c r="T381" s="11">
        <f>Q381*4</f>
        <v>10.8</v>
      </c>
      <c r="U381" s="11">
        <f>R381*4</f>
        <v>20.399999999999999</v>
      </c>
      <c r="V381" s="12">
        <f>(1/3)*3.14*T381^2*(3*(U381/2)-T381)</f>
        <v>2417.2473599999998</v>
      </c>
      <c r="W381" s="12">
        <f>V381/1000</f>
        <v>2.4172473599999997</v>
      </c>
    </row>
    <row r="382" spans="1:23" x14ac:dyDescent="0.25">
      <c r="A382" s="7">
        <v>383</v>
      </c>
      <c r="B382" s="8" t="s">
        <v>490</v>
      </c>
      <c r="C382" s="8" t="s">
        <v>496</v>
      </c>
      <c r="D382" s="7" t="s">
        <v>492</v>
      </c>
      <c r="E382" s="8" t="s">
        <v>51</v>
      </c>
      <c r="F382" s="7">
        <v>340</v>
      </c>
      <c r="G382" s="7">
        <v>1295</v>
      </c>
      <c r="H382" s="7">
        <f>(F382+G382)/2</f>
        <v>817.5</v>
      </c>
      <c r="I382" s="9">
        <v>2</v>
      </c>
      <c r="J382" s="10" t="s">
        <v>26</v>
      </c>
      <c r="K382" s="8" t="s">
        <v>27</v>
      </c>
      <c r="L382" s="8" t="s">
        <v>28</v>
      </c>
      <c r="M382" s="8" t="s">
        <v>39</v>
      </c>
      <c r="N382" s="8"/>
      <c r="O382" s="8" t="s">
        <v>71</v>
      </c>
      <c r="P382" s="11">
        <v>5.8</v>
      </c>
      <c r="Q382" s="11">
        <v>2.9</v>
      </c>
      <c r="R382" s="11">
        <v>5.8</v>
      </c>
      <c r="S382" s="11">
        <f>P382*4</f>
        <v>23.2</v>
      </c>
      <c r="T382" s="11">
        <f>Q382*4</f>
        <v>11.6</v>
      </c>
      <c r="U382" s="11">
        <f>R382*4</f>
        <v>23.2</v>
      </c>
      <c r="V382" s="12">
        <f>(1/3)*3.14*T382^2*(3*(U382/2)-T382)</f>
        <v>3267.4756266666659</v>
      </c>
      <c r="W382" s="12">
        <f>V382/1000</f>
        <v>3.2674756266666658</v>
      </c>
    </row>
    <row r="383" spans="1:23" x14ac:dyDescent="0.25">
      <c r="A383" s="7">
        <v>384</v>
      </c>
      <c r="B383" s="8" t="s">
        <v>490</v>
      </c>
      <c r="C383" s="8" t="s">
        <v>497</v>
      </c>
      <c r="D383" s="7" t="s">
        <v>492</v>
      </c>
      <c r="E383" s="8" t="s">
        <v>51</v>
      </c>
      <c r="F383" s="7">
        <v>340</v>
      </c>
      <c r="G383" s="7">
        <v>1295</v>
      </c>
      <c r="H383" s="7">
        <f>(F383+G383)/2</f>
        <v>817.5</v>
      </c>
      <c r="I383" s="9">
        <v>5</v>
      </c>
      <c r="J383" s="10" t="s">
        <v>65</v>
      </c>
      <c r="K383" s="8" t="s">
        <v>42</v>
      </c>
      <c r="L383" s="8" t="s">
        <v>43</v>
      </c>
      <c r="M383" s="8"/>
      <c r="N383" s="8"/>
      <c r="O383" s="8" t="s">
        <v>29</v>
      </c>
      <c r="P383" s="11">
        <v>2.2000000000000002</v>
      </c>
      <c r="Q383" s="11">
        <v>3</v>
      </c>
      <c r="R383" s="11">
        <v>2.6</v>
      </c>
      <c r="S383" s="11">
        <f>P383*4</f>
        <v>8.8000000000000007</v>
      </c>
      <c r="T383" s="11">
        <f>Q383*4</f>
        <v>12</v>
      </c>
      <c r="U383" s="11">
        <f>R383*4</f>
        <v>10.4</v>
      </c>
      <c r="V383" s="12">
        <f>(4/3)*3.14*(U383/2)^3</f>
        <v>588.67882666666674</v>
      </c>
      <c r="W383" s="12">
        <f>V383/1000</f>
        <v>0.58867882666666671</v>
      </c>
    </row>
    <row r="384" spans="1:23" x14ac:dyDescent="0.25">
      <c r="A384" s="7">
        <v>385</v>
      </c>
      <c r="B384" s="8" t="s">
        <v>490</v>
      </c>
      <c r="C384" s="8" t="s">
        <v>498</v>
      </c>
      <c r="D384" s="7" t="s">
        <v>492</v>
      </c>
      <c r="E384" s="8" t="s">
        <v>51</v>
      </c>
      <c r="F384" s="7">
        <v>340</v>
      </c>
      <c r="G384" s="7">
        <v>1295</v>
      </c>
      <c r="H384" s="7">
        <f>(F384+G384)/2</f>
        <v>817.5</v>
      </c>
      <c r="I384" s="9">
        <v>5</v>
      </c>
      <c r="J384" s="10" t="s">
        <v>65</v>
      </c>
      <c r="K384" s="8" t="s">
        <v>42</v>
      </c>
      <c r="L384" s="8" t="s">
        <v>43</v>
      </c>
      <c r="M384" s="8" t="s">
        <v>39</v>
      </c>
      <c r="N384" s="8"/>
      <c r="O384" s="8" t="s">
        <v>40</v>
      </c>
      <c r="P384" s="11">
        <v>1.6</v>
      </c>
      <c r="Q384" s="11">
        <v>3.2</v>
      </c>
      <c r="R384" s="11">
        <v>3</v>
      </c>
      <c r="S384" s="11">
        <f>P384*4</f>
        <v>6.4</v>
      </c>
      <c r="T384" s="11">
        <f>Q384*4</f>
        <v>12.8</v>
      </c>
      <c r="U384" s="11">
        <f>R384*4</f>
        <v>12</v>
      </c>
      <c r="V384" s="12">
        <f>(4/3)*3.14*(U384/2)^3</f>
        <v>904.31999999999994</v>
      </c>
      <c r="W384" s="12">
        <f>V384/1000</f>
        <v>0.9043199999999999</v>
      </c>
    </row>
    <row r="385" spans="1:23" x14ac:dyDescent="0.25">
      <c r="A385" s="7">
        <v>386</v>
      </c>
      <c r="B385" s="8" t="s">
        <v>490</v>
      </c>
      <c r="C385" s="8" t="s">
        <v>499</v>
      </c>
      <c r="D385" s="7" t="s">
        <v>492</v>
      </c>
      <c r="E385" s="8" t="s">
        <v>51</v>
      </c>
      <c r="F385" s="7">
        <v>340</v>
      </c>
      <c r="G385" s="7">
        <v>1295</v>
      </c>
      <c r="H385" s="7">
        <f>(F385+G385)/2</f>
        <v>817.5</v>
      </c>
      <c r="I385" s="9">
        <v>5</v>
      </c>
      <c r="J385" s="10" t="s">
        <v>65</v>
      </c>
      <c r="K385" s="8" t="s">
        <v>42</v>
      </c>
      <c r="L385" s="8" t="s">
        <v>43</v>
      </c>
      <c r="M385" s="8" t="s">
        <v>39</v>
      </c>
      <c r="N385" s="8"/>
      <c r="O385" s="8" t="s">
        <v>71</v>
      </c>
      <c r="P385" s="11">
        <v>1.1000000000000001</v>
      </c>
      <c r="Q385" s="11">
        <v>2</v>
      </c>
      <c r="R385" s="11">
        <v>1.8</v>
      </c>
      <c r="S385" s="11">
        <f>P385*4</f>
        <v>4.4000000000000004</v>
      </c>
      <c r="T385" s="11">
        <f>Q385*4</f>
        <v>8</v>
      </c>
      <c r="U385" s="11">
        <f>R385*4</f>
        <v>7.2</v>
      </c>
      <c r="V385" s="12">
        <f>(4/3)*3.14*(U385/2)^3</f>
        <v>195.33312000000001</v>
      </c>
      <c r="W385" s="12">
        <f>V385/1000</f>
        <v>0.19533312</v>
      </c>
    </row>
    <row r="386" spans="1:23" x14ac:dyDescent="0.25">
      <c r="A386" s="7">
        <v>387</v>
      </c>
      <c r="B386" s="8" t="s">
        <v>490</v>
      </c>
      <c r="C386" s="8" t="s">
        <v>500</v>
      </c>
      <c r="D386" s="7" t="s">
        <v>492</v>
      </c>
      <c r="E386" s="8" t="s">
        <v>51</v>
      </c>
      <c r="F386" s="7">
        <v>340</v>
      </c>
      <c r="G386" s="7">
        <v>1295</v>
      </c>
      <c r="H386" s="7">
        <f>(F386+G386)/2</f>
        <v>817.5</v>
      </c>
      <c r="I386" s="9">
        <v>5</v>
      </c>
      <c r="J386" s="10" t="s">
        <v>65</v>
      </c>
      <c r="K386" s="8" t="s">
        <v>42</v>
      </c>
      <c r="L386" s="8" t="s">
        <v>43</v>
      </c>
      <c r="M386" s="8"/>
      <c r="N386" s="8"/>
      <c r="O386" s="8" t="s">
        <v>29</v>
      </c>
      <c r="P386" s="11">
        <v>2</v>
      </c>
      <c r="Q386" s="11">
        <v>3.8</v>
      </c>
      <c r="R386" s="11">
        <v>3.4</v>
      </c>
      <c r="S386" s="11">
        <f>P386*4</f>
        <v>8</v>
      </c>
      <c r="T386" s="11">
        <f>Q386*4</f>
        <v>15.2</v>
      </c>
      <c r="U386" s="11">
        <f>R386*4</f>
        <v>13.6</v>
      </c>
      <c r="V386" s="12">
        <f>(4/3)*3.14*(U386/2)^3</f>
        <v>1316.4219733333332</v>
      </c>
      <c r="W386" s="12">
        <f>V386/1000</f>
        <v>1.3164219733333331</v>
      </c>
    </row>
    <row r="387" spans="1:23" x14ac:dyDescent="0.25">
      <c r="A387" s="7">
        <v>388</v>
      </c>
      <c r="B387" s="8" t="s">
        <v>490</v>
      </c>
      <c r="C387" s="8" t="s">
        <v>501</v>
      </c>
      <c r="D387" s="7" t="s">
        <v>492</v>
      </c>
      <c r="E387" s="8" t="s">
        <v>51</v>
      </c>
      <c r="F387" s="7">
        <v>340</v>
      </c>
      <c r="G387" s="7">
        <v>1295</v>
      </c>
      <c r="H387" s="7">
        <f>(F387+G387)/2</f>
        <v>817.5</v>
      </c>
      <c r="I387" s="9">
        <v>6</v>
      </c>
      <c r="J387" s="10" t="s">
        <v>26</v>
      </c>
      <c r="K387" s="8" t="s">
        <v>42</v>
      </c>
      <c r="L387" s="8" t="s">
        <v>43</v>
      </c>
      <c r="M387" s="8"/>
      <c r="N387" s="8"/>
      <c r="O387" s="8" t="s">
        <v>44</v>
      </c>
      <c r="P387" s="11">
        <v>2.4</v>
      </c>
      <c r="Q387" s="11">
        <v>5</v>
      </c>
      <c r="R387" s="11">
        <v>4.5999999999999996</v>
      </c>
      <c r="S387" s="11">
        <f>P387*4</f>
        <v>9.6</v>
      </c>
      <c r="T387" s="11">
        <f>Q387*4</f>
        <v>20</v>
      </c>
      <c r="U387" s="11">
        <f>R387*4</f>
        <v>18.399999999999999</v>
      </c>
      <c r="V387" s="12">
        <f>(4/3)*3.14*(U387/2)^3</f>
        <v>3260.1070933333322</v>
      </c>
      <c r="W387" s="12">
        <f>V387/1000</f>
        <v>3.2601070933333323</v>
      </c>
    </row>
    <row r="388" spans="1:23" x14ac:dyDescent="0.25">
      <c r="A388" s="7">
        <v>389</v>
      </c>
      <c r="B388" s="8" t="s">
        <v>490</v>
      </c>
      <c r="C388" s="8" t="s">
        <v>502</v>
      </c>
      <c r="D388" s="7" t="s">
        <v>492</v>
      </c>
      <c r="E388" s="8" t="s">
        <v>51</v>
      </c>
      <c r="F388" s="7">
        <v>340</v>
      </c>
      <c r="G388" s="7">
        <v>1295</v>
      </c>
      <c r="H388" s="7">
        <f>(F388+G388)/2</f>
        <v>817.5</v>
      </c>
      <c r="I388" s="9">
        <v>10</v>
      </c>
      <c r="J388" s="10" t="s">
        <v>26</v>
      </c>
      <c r="K388" s="8" t="s">
        <v>42</v>
      </c>
      <c r="L388" s="8" t="s">
        <v>43</v>
      </c>
      <c r="M388" s="8"/>
      <c r="N388" s="8"/>
      <c r="O388" s="8" t="s">
        <v>29</v>
      </c>
      <c r="P388" s="11">
        <v>4</v>
      </c>
      <c r="Q388" s="11">
        <v>7.2</v>
      </c>
      <c r="R388" s="11">
        <v>5.5</v>
      </c>
      <c r="S388" s="11">
        <f>P388*4</f>
        <v>16</v>
      </c>
      <c r="T388" s="11">
        <f>Q388*4</f>
        <v>28.8</v>
      </c>
      <c r="U388" s="11">
        <f>R388*4</f>
        <v>22</v>
      </c>
      <c r="V388" s="12">
        <f>4/3*3.14*U388^2*T388</f>
        <v>58358.784</v>
      </c>
      <c r="W388" s="12">
        <f>V388/1000</f>
        <v>58.358784</v>
      </c>
    </row>
    <row r="389" spans="1:23" x14ac:dyDescent="0.25">
      <c r="A389" s="7">
        <v>390</v>
      </c>
      <c r="B389" s="8" t="s">
        <v>490</v>
      </c>
      <c r="C389" s="8" t="s">
        <v>503</v>
      </c>
      <c r="D389" s="7" t="s">
        <v>492</v>
      </c>
      <c r="E389" s="8" t="s">
        <v>51</v>
      </c>
      <c r="F389" s="7">
        <v>340</v>
      </c>
      <c r="G389" s="7">
        <v>1295</v>
      </c>
      <c r="H389" s="7">
        <f>(F389+G389)/2</f>
        <v>817.5</v>
      </c>
      <c r="I389" s="9">
        <v>10</v>
      </c>
      <c r="J389" s="10" t="s">
        <v>26</v>
      </c>
      <c r="K389" s="8" t="s">
        <v>42</v>
      </c>
      <c r="L389" s="8" t="s">
        <v>43</v>
      </c>
      <c r="M389" s="8"/>
      <c r="N389" s="8"/>
      <c r="O389" s="8" t="s">
        <v>29</v>
      </c>
      <c r="P389" s="11">
        <v>4.3</v>
      </c>
      <c r="Q389" s="11">
        <v>8.6999999999999993</v>
      </c>
      <c r="R389" s="11">
        <v>5.8</v>
      </c>
      <c r="S389" s="11">
        <f>P389*4</f>
        <v>17.2</v>
      </c>
      <c r="T389" s="11">
        <f>Q389*4</f>
        <v>34.799999999999997</v>
      </c>
      <c r="U389" s="11">
        <f>R389*4</f>
        <v>23.2</v>
      </c>
      <c r="V389" s="12">
        <f>4/3*3.14*U389^2*T389</f>
        <v>78419.415039999993</v>
      </c>
      <c r="W389" s="12">
        <f>V389/1000</f>
        <v>78.41941503999999</v>
      </c>
    </row>
    <row r="390" spans="1:23" x14ac:dyDescent="0.25">
      <c r="A390" s="7">
        <v>391</v>
      </c>
      <c r="B390" s="8" t="s">
        <v>490</v>
      </c>
      <c r="C390" s="8" t="s">
        <v>504</v>
      </c>
      <c r="D390" s="7" t="s">
        <v>492</v>
      </c>
      <c r="E390" s="8" t="s">
        <v>51</v>
      </c>
      <c r="F390" s="7">
        <v>340</v>
      </c>
      <c r="G390" s="7">
        <v>1295</v>
      </c>
      <c r="H390" s="7">
        <f>(F390+G390)/2</f>
        <v>817.5</v>
      </c>
      <c r="I390" s="9">
        <v>7</v>
      </c>
      <c r="J390" s="10" t="s">
        <v>34</v>
      </c>
      <c r="K390" s="8" t="s">
        <v>68</v>
      </c>
      <c r="L390" s="8" t="s">
        <v>28</v>
      </c>
      <c r="M390" s="8" t="s">
        <v>132</v>
      </c>
      <c r="N390" s="8"/>
      <c r="O390" s="8" t="s">
        <v>71</v>
      </c>
      <c r="P390" s="11">
        <v>4.5999999999999996</v>
      </c>
      <c r="Q390" s="11">
        <v>5.3</v>
      </c>
      <c r="R390" s="11">
        <v>6.9</v>
      </c>
      <c r="S390" s="11">
        <f>P390*4</f>
        <v>18.399999999999999</v>
      </c>
      <c r="T390" s="11">
        <f>Q390*4</f>
        <v>21.2</v>
      </c>
      <c r="U390" s="11">
        <f>R390*4</f>
        <v>27.6</v>
      </c>
      <c r="V390" s="12">
        <f>4/3*3.14*U390^2*T390</f>
        <v>67611.786240000016</v>
      </c>
      <c r="W390" s="12">
        <f>V390/1000</f>
        <v>67.611786240000015</v>
      </c>
    </row>
    <row r="391" spans="1:23" x14ac:dyDescent="0.25">
      <c r="A391" s="7">
        <v>392</v>
      </c>
      <c r="B391" s="8" t="s">
        <v>505</v>
      </c>
      <c r="C391" s="8" t="s">
        <v>506</v>
      </c>
      <c r="D391" s="7" t="s">
        <v>507</v>
      </c>
      <c r="E391" s="8" t="s">
        <v>25</v>
      </c>
      <c r="F391" s="7">
        <v>-2100</v>
      </c>
      <c r="G391" s="7">
        <v>-1900</v>
      </c>
      <c r="H391" s="7">
        <f>(F391+G391)/2</f>
        <v>-2000</v>
      </c>
      <c r="I391" s="9">
        <v>6</v>
      </c>
      <c r="J391" s="10" t="s">
        <v>32</v>
      </c>
      <c r="K391" s="8" t="s">
        <v>42</v>
      </c>
      <c r="L391" s="8" t="s">
        <v>43</v>
      </c>
      <c r="M391" s="8"/>
      <c r="N391" s="8"/>
      <c r="O391" s="8" t="s">
        <v>44</v>
      </c>
      <c r="P391" s="11">
        <v>5</v>
      </c>
      <c r="Q391" s="11">
        <v>8.6999999999999993</v>
      </c>
      <c r="R391" s="11">
        <v>9.6</v>
      </c>
      <c r="S391" s="11">
        <f>P391*4</f>
        <v>20</v>
      </c>
      <c r="T391" s="11">
        <f>Q391*4</f>
        <v>34.799999999999997</v>
      </c>
      <c r="U391" s="11">
        <f>R391*4</f>
        <v>38.4</v>
      </c>
      <c r="V391" s="12">
        <f>(4/3)*3.14*(U391/2)^3</f>
        <v>29632.75776</v>
      </c>
      <c r="W391" s="12">
        <f>V391/1000</f>
        <v>29.632757760000001</v>
      </c>
    </row>
    <row r="392" spans="1:23" x14ac:dyDescent="0.25">
      <c r="A392" s="7">
        <v>393</v>
      </c>
      <c r="B392" s="8" t="s">
        <v>505</v>
      </c>
      <c r="C392" s="8" t="s">
        <v>508</v>
      </c>
      <c r="D392" s="7" t="s">
        <v>507</v>
      </c>
      <c r="E392" s="8" t="s">
        <v>25</v>
      </c>
      <c r="F392" s="7">
        <v>-2100</v>
      </c>
      <c r="G392" s="7">
        <v>-1900</v>
      </c>
      <c r="H392" s="7">
        <f>(F392+G392)/2</f>
        <v>-2000</v>
      </c>
      <c r="I392" s="9">
        <v>3</v>
      </c>
      <c r="J392" s="10" t="s">
        <v>81</v>
      </c>
      <c r="K392" s="8" t="s">
        <v>42</v>
      </c>
      <c r="L392" s="8" t="s">
        <v>43</v>
      </c>
      <c r="M392" s="8"/>
      <c r="N392" s="8"/>
      <c r="O392" s="8" t="s">
        <v>29</v>
      </c>
      <c r="P392" s="11">
        <v>10.1</v>
      </c>
      <c r="Q392" s="11">
        <v>4.9000000000000004</v>
      </c>
      <c r="R392" s="11">
        <v>11.7</v>
      </c>
      <c r="S392" s="11">
        <f>P392*4</f>
        <v>40.4</v>
      </c>
      <c r="T392" s="11">
        <f>Q392*4</f>
        <v>19.600000000000001</v>
      </c>
      <c r="U392" s="11">
        <f>R392*4</f>
        <v>46.8</v>
      </c>
      <c r="V392" s="12">
        <f>4/3*3.14*U392^2*T392</f>
        <v>179728.17407999997</v>
      </c>
      <c r="W392" s="12">
        <f>V392/1000</f>
        <v>179.72817407999997</v>
      </c>
    </row>
    <row r="393" spans="1:23" x14ac:dyDescent="0.25">
      <c r="A393" s="7">
        <v>394</v>
      </c>
      <c r="B393" s="8" t="s">
        <v>505</v>
      </c>
      <c r="C393" s="8" t="s">
        <v>509</v>
      </c>
      <c r="D393" s="7" t="s">
        <v>507</v>
      </c>
      <c r="E393" s="8" t="s">
        <v>25</v>
      </c>
      <c r="F393" s="7">
        <v>-2100</v>
      </c>
      <c r="G393" s="7">
        <v>-1900</v>
      </c>
      <c r="H393" s="7">
        <f>(F393+G393)/2</f>
        <v>-2000</v>
      </c>
      <c r="I393" s="9">
        <v>3</v>
      </c>
      <c r="J393" s="10" t="s">
        <v>81</v>
      </c>
      <c r="K393" s="8" t="s">
        <v>42</v>
      </c>
      <c r="L393" s="8" t="s">
        <v>43</v>
      </c>
      <c r="M393" s="8"/>
      <c r="N393" s="8"/>
      <c r="O393" s="8" t="s">
        <v>29</v>
      </c>
      <c r="P393" s="11">
        <v>13.5</v>
      </c>
      <c r="Q393" s="11">
        <v>7.7</v>
      </c>
      <c r="R393" s="11">
        <v>14.1</v>
      </c>
      <c r="S393" s="11">
        <f>P393*4</f>
        <v>54</v>
      </c>
      <c r="T393" s="11">
        <f>Q393*4</f>
        <v>30.8</v>
      </c>
      <c r="U393" s="11">
        <f>R393*4</f>
        <v>56.4</v>
      </c>
      <c r="V393" s="12">
        <f>4/3*3.14*U393^2*T393</f>
        <v>410182.67135999998</v>
      </c>
      <c r="W393" s="12">
        <f>V393/1000</f>
        <v>410.18267135999997</v>
      </c>
    </row>
    <row r="394" spans="1:23" x14ac:dyDescent="0.25">
      <c r="A394" s="7">
        <v>395</v>
      </c>
      <c r="B394" s="8" t="s">
        <v>505</v>
      </c>
      <c r="C394" s="8" t="s">
        <v>510</v>
      </c>
      <c r="D394" s="7" t="s">
        <v>507</v>
      </c>
      <c r="E394" s="8" t="s">
        <v>25</v>
      </c>
      <c r="F394" s="7">
        <v>-2100</v>
      </c>
      <c r="G394" s="7">
        <v>-1900</v>
      </c>
      <c r="H394" s="7">
        <f>(F394+G394)/2</f>
        <v>-2000</v>
      </c>
      <c r="I394" s="9">
        <v>1</v>
      </c>
      <c r="J394" s="10" t="s">
        <v>81</v>
      </c>
      <c r="K394" s="8" t="s">
        <v>27</v>
      </c>
      <c r="L394" s="8" t="s">
        <v>28</v>
      </c>
      <c r="M394" s="8" t="s">
        <v>39</v>
      </c>
      <c r="N394" s="8"/>
      <c r="O394" s="8" t="s">
        <v>40</v>
      </c>
      <c r="P394" s="11">
        <v>15.1</v>
      </c>
      <c r="Q394" s="11">
        <v>2.6</v>
      </c>
      <c r="R394" s="11">
        <v>15.6</v>
      </c>
      <c r="S394" s="11">
        <f>P394*4</f>
        <v>60.4</v>
      </c>
      <c r="T394" s="11">
        <f>Q394*4</f>
        <v>10.4</v>
      </c>
      <c r="U394" s="11">
        <f>R394*4</f>
        <v>62.4</v>
      </c>
      <c r="V394" s="12">
        <f>(1/3)*3.14*T394^2*(3*(U394/2)-T394)</f>
        <v>9418.861226666666</v>
      </c>
      <c r="W394" s="12">
        <f>V394/1000</f>
        <v>9.4188612266666656</v>
      </c>
    </row>
    <row r="395" spans="1:23" x14ac:dyDescent="0.25">
      <c r="A395" s="7">
        <v>396</v>
      </c>
      <c r="B395" s="8" t="s">
        <v>505</v>
      </c>
      <c r="C395" s="8" t="s">
        <v>511</v>
      </c>
      <c r="D395" s="7" t="s">
        <v>507</v>
      </c>
      <c r="E395" s="8" t="s">
        <v>25</v>
      </c>
      <c r="F395" s="7">
        <v>-2100</v>
      </c>
      <c r="G395" s="7">
        <v>-1900</v>
      </c>
      <c r="H395" s="7">
        <f>(F395+G395)/2</f>
        <v>-2000</v>
      </c>
      <c r="I395" s="9">
        <v>4</v>
      </c>
      <c r="J395" s="10" t="s">
        <v>34</v>
      </c>
      <c r="K395" s="8" t="s">
        <v>27</v>
      </c>
      <c r="L395" s="8" t="s">
        <v>28</v>
      </c>
      <c r="M395" s="8" t="s">
        <v>39</v>
      </c>
      <c r="N395" s="8"/>
      <c r="O395" s="8" t="s">
        <v>40</v>
      </c>
      <c r="P395" s="11">
        <v>8.3000000000000007</v>
      </c>
      <c r="Q395" s="11">
        <v>4.2</v>
      </c>
      <c r="R395" s="11">
        <v>8.3000000000000007</v>
      </c>
      <c r="S395" s="11">
        <f>P395*4</f>
        <v>33.200000000000003</v>
      </c>
      <c r="T395" s="11">
        <f>Q395*4</f>
        <v>16.8</v>
      </c>
      <c r="U395" s="11">
        <f>R395*4</f>
        <v>33.200000000000003</v>
      </c>
      <c r="V395" s="12">
        <f>(2/3)*3.14*(U395/2)^3</f>
        <v>9575.5262933333361</v>
      </c>
      <c r="W395" s="12">
        <f>V395/1000</f>
        <v>9.5755262933333363</v>
      </c>
    </row>
    <row r="396" spans="1:23" x14ac:dyDescent="0.25">
      <c r="A396" s="7">
        <v>397</v>
      </c>
      <c r="B396" s="8" t="s">
        <v>505</v>
      </c>
      <c r="C396" s="8" t="s">
        <v>512</v>
      </c>
      <c r="D396" s="7" t="s">
        <v>507</v>
      </c>
      <c r="E396" s="8" t="s">
        <v>25</v>
      </c>
      <c r="F396" s="7">
        <v>-2100</v>
      </c>
      <c r="G396" s="7">
        <v>-1900</v>
      </c>
      <c r="H396" s="7">
        <f>(F396+G396)/2</f>
        <v>-2000</v>
      </c>
      <c r="I396" s="9">
        <v>5</v>
      </c>
      <c r="J396" s="10" t="s">
        <v>81</v>
      </c>
      <c r="K396" s="8" t="s">
        <v>27</v>
      </c>
      <c r="L396" s="8" t="s">
        <v>28</v>
      </c>
      <c r="M396" s="8"/>
      <c r="N396" s="8"/>
      <c r="O396" s="8" t="s">
        <v>44</v>
      </c>
      <c r="P396" s="11">
        <v>19.5</v>
      </c>
      <c r="Q396" s="11">
        <v>20.100000000000001</v>
      </c>
      <c r="R396" s="11">
        <v>24.4</v>
      </c>
      <c r="S396" s="11">
        <f>P396*4</f>
        <v>78</v>
      </c>
      <c r="T396" s="11">
        <f>Q396*4</f>
        <v>80.400000000000006</v>
      </c>
      <c r="U396" s="11">
        <f>R396*4</f>
        <v>97.6</v>
      </c>
      <c r="V396" s="12">
        <f>(4/3)*3.14*(U396/2)^3</f>
        <v>486550.41877333319</v>
      </c>
      <c r="W396" s="12">
        <f>V396/1000</f>
        <v>486.55041877333321</v>
      </c>
    </row>
    <row r="397" spans="1:23" x14ac:dyDescent="0.25">
      <c r="A397" s="7">
        <v>398</v>
      </c>
      <c r="B397" s="8" t="s">
        <v>505</v>
      </c>
      <c r="C397" s="8" t="s">
        <v>513</v>
      </c>
      <c r="D397" s="7" t="s">
        <v>514</v>
      </c>
      <c r="E397" s="8" t="s">
        <v>25</v>
      </c>
      <c r="F397" s="7">
        <v>-1600</v>
      </c>
      <c r="G397" s="7">
        <v>-1100</v>
      </c>
      <c r="H397" s="7">
        <f>(F397+G397)/2</f>
        <v>-1350</v>
      </c>
      <c r="I397" s="9">
        <v>5</v>
      </c>
      <c r="J397" s="10" t="s">
        <v>32</v>
      </c>
      <c r="K397" s="8" t="s">
        <v>261</v>
      </c>
      <c r="L397" s="8" t="s">
        <v>28</v>
      </c>
      <c r="M397" s="8"/>
      <c r="N397" s="8"/>
      <c r="O397" s="8" t="s">
        <v>44</v>
      </c>
      <c r="P397" s="11">
        <v>5.8</v>
      </c>
      <c r="Q397" s="11">
        <v>9.4</v>
      </c>
      <c r="R397" s="11">
        <v>10.1</v>
      </c>
      <c r="S397" s="11">
        <f>P397*4</f>
        <v>23.2</v>
      </c>
      <c r="T397" s="11">
        <f>Q397*4</f>
        <v>37.6</v>
      </c>
      <c r="U397" s="11">
        <f>R397*4</f>
        <v>40.4</v>
      </c>
      <c r="V397" s="12">
        <f>(4/3)*3.14*(U397/2)^3</f>
        <v>34508.214826666663</v>
      </c>
      <c r="W397" s="12">
        <f>V397/1000</f>
        <v>34.508214826666659</v>
      </c>
    </row>
    <row r="398" spans="1:23" x14ac:dyDescent="0.25">
      <c r="A398" s="7">
        <v>399</v>
      </c>
      <c r="B398" s="8" t="s">
        <v>505</v>
      </c>
      <c r="C398" s="8" t="s">
        <v>515</v>
      </c>
      <c r="D398" s="7" t="s">
        <v>514</v>
      </c>
      <c r="E398" s="8" t="s">
        <v>25</v>
      </c>
      <c r="F398" s="7">
        <v>-1600</v>
      </c>
      <c r="G398" s="7">
        <v>-1100</v>
      </c>
      <c r="H398" s="7">
        <f>(F398+G398)/2</f>
        <v>-1350</v>
      </c>
      <c r="I398" s="9">
        <v>3</v>
      </c>
      <c r="J398" s="10" t="s">
        <v>32</v>
      </c>
      <c r="K398" s="8" t="s">
        <v>261</v>
      </c>
      <c r="L398" s="8" t="s">
        <v>28</v>
      </c>
      <c r="M398" s="8" t="s">
        <v>39</v>
      </c>
      <c r="N398" s="8"/>
      <c r="O398" s="8" t="s">
        <v>40</v>
      </c>
      <c r="P398" s="11">
        <v>9.1999999999999993</v>
      </c>
      <c r="Q398" s="11">
        <v>5.8</v>
      </c>
      <c r="R398" s="11">
        <v>10.6</v>
      </c>
      <c r="S398" s="11">
        <f>P398*4</f>
        <v>36.799999999999997</v>
      </c>
      <c r="T398" s="11">
        <f>Q398*4</f>
        <v>23.2</v>
      </c>
      <c r="U398" s="11">
        <f>R398*4</f>
        <v>42.4</v>
      </c>
      <c r="V398" s="12">
        <f>4/3*3.14*U398^2*T398</f>
        <v>174617.62730666666</v>
      </c>
      <c r="W398" s="12">
        <f>V398/1000</f>
        <v>174.61762730666666</v>
      </c>
    </row>
    <row r="399" spans="1:23" x14ac:dyDescent="0.25">
      <c r="A399" s="7">
        <v>400</v>
      </c>
      <c r="B399" s="8" t="s">
        <v>505</v>
      </c>
      <c r="C399" s="8" t="s">
        <v>516</v>
      </c>
      <c r="D399" s="7" t="s">
        <v>514</v>
      </c>
      <c r="E399" s="8" t="s">
        <v>25</v>
      </c>
      <c r="F399" s="7">
        <v>-1600</v>
      </c>
      <c r="G399" s="7">
        <v>-1100</v>
      </c>
      <c r="H399" s="7">
        <f>(F399+G399)/2</f>
        <v>-1350</v>
      </c>
      <c r="I399" s="9">
        <v>5</v>
      </c>
      <c r="J399" s="10" t="s">
        <v>81</v>
      </c>
      <c r="K399" s="8" t="s">
        <v>261</v>
      </c>
      <c r="L399" s="8" t="s">
        <v>28</v>
      </c>
      <c r="M399" s="8"/>
      <c r="N399" s="8"/>
      <c r="O399" s="8" t="s">
        <v>44</v>
      </c>
      <c r="P399" s="11">
        <v>14.8</v>
      </c>
      <c r="Q399" s="11">
        <v>13.8</v>
      </c>
      <c r="R399" s="11">
        <v>18.600000000000001</v>
      </c>
      <c r="S399" s="11">
        <f>P399*4</f>
        <v>59.2</v>
      </c>
      <c r="T399" s="11">
        <f>Q399*4</f>
        <v>55.2</v>
      </c>
      <c r="U399" s="11">
        <f>R399*4</f>
        <v>74.400000000000006</v>
      </c>
      <c r="V399" s="12">
        <f>(4/3)*3.14*(U399/2)^3</f>
        <v>215524.77696000005</v>
      </c>
      <c r="W399" s="12">
        <f>V399/1000</f>
        <v>215.52477696000005</v>
      </c>
    </row>
    <row r="400" spans="1:23" x14ac:dyDescent="0.25">
      <c r="A400" s="7">
        <v>401</v>
      </c>
      <c r="B400" s="8" t="s">
        <v>505</v>
      </c>
      <c r="C400" s="8" t="s">
        <v>517</v>
      </c>
      <c r="D400" s="7" t="s">
        <v>514</v>
      </c>
      <c r="E400" s="8" t="s">
        <v>25</v>
      </c>
      <c r="F400" s="7">
        <v>-1600</v>
      </c>
      <c r="G400" s="7">
        <v>-1100</v>
      </c>
      <c r="H400" s="7">
        <f>(F400+G400)/2</f>
        <v>-1350</v>
      </c>
      <c r="I400" s="9">
        <v>4</v>
      </c>
      <c r="J400" s="10" t="s">
        <v>32</v>
      </c>
      <c r="K400" s="8" t="s">
        <v>27</v>
      </c>
      <c r="L400" s="8" t="s">
        <v>28</v>
      </c>
      <c r="M400" s="8" t="s">
        <v>39</v>
      </c>
      <c r="N400" s="8"/>
      <c r="O400" s="8" t="s">
        <v>40</v>
      </c>
      <c r="P400" s="11">
        <v>10.3</v>
      </c>
      <c r="Q400" s="11">
        <v>5.2</v>
      </c>
      <c r="R400" s="11">
        <v>10.3</v>
      </c>
      <c r="S400" s="11">
        <f>P400*4</f>
        <v>41.2</v>
      </c>
      <c r="T400" s="11">
        <f>Q400*4</f>
        <v>20.8</v>
      </c>
      <c r="U400" s="11">
        <f>R400*4</f>
        <v>41.2</v>
      </c>
      <c r="V400" s="12">
        <f>(2/3)*3.14*(U400/2)^3</f>
        <v>18299.53482666667</v>
      </c>
      <c r="W400" s="12">
        <f>V400/1000</f>
        <v>18.299534826666669</v>
      </c>
    </row>
    <row r="401" spans="1:23" x14ac:dyDescent="0.25">
      <c r="A401" s="7">
        <v>402</v>
      </c>
      <c r="B401" s="8" t="s">
        <v>505</v>
      </c>
      <c r="C401" s="8" t="s">
        <v>518</v>
      </c>
      <c r="D401" s="7" t="s">
        <v>514</v>
      </c>
      <c r="E401" s="8" t="s">
        <v>25</v>
      </c>
      <c r="F401" s="7">
        <v>-1600</v>
      </c>
      <c r="G401" s="7">
        <v>-1100</v>
      </c>
      <c r="H401" s="7">
        <f>(F401+G401)/2</f>
        <v>-1350</v>
      </c>
      <c r="I401" s="9">
        <v>5</v>
      </c>
      <c r="J401" s="10" t="s">
        <v>81</v>
      </c>
      <c r="K401" s="8" t="s">
        <v>68</v>
      </c>
      <c r="L401" s="8" t="s">
        <v>28</v>
      </c>
      <c r="M401" s="8"/>
      <c r="N401" s="8"/>
      <c r="O401" s="8" t="s">
        <v>44</v>
      </c>
      <c r="P401" s="11">
        <v>14.4</v>
      </c>
      <c r="Q401" s="11">
        <v>14.4</v>
      </c>
      <c r="R401" s="11">
        <v>15.4</v>
      </c>
      <c r="S401" s="11">
        <f>P401*4</f>
        <v>57.6</v>
      </c>
      <c r="T401" s="11">
        <f>Q401*4</f>
        <v>57.6</v>
      </c>
      <c r="U401" s="11">
        <f>R401*4</f>
        <v>61.6</v>
      </c>
      <c r="V401" s="12">
        <f>(4/3)*3.14*(U401/2)^3</f>
        <v>122326.49557333335</v>
      </c>
      <c r="W401" s="12">
        <f>V401/1000</f>
        <v>122.32649557333335</v>
      </c>
    </row>
    <row r="402" spans="1:23" x14ac:dyDescent="0.25">
      <c r="A402" s="7">
        <v>403</v>
      </c>
      <c r="B402" s="8" t="s">
        <v>505</v>
      </c>
      <c r="C402" s="8" t="s">
        <v>519</v>
      </c>
      <c r="D402" s="7" t="s">
        <v>520</v>
      </c>
      <c r="E402" s="8" t="s">
        <v>25</v>
      </c>
      <c r="F402" s="7">
        <v>-900</v>
      </c>
      <c r="G402" s="7">
        <v>-550</v>
      </c>
      <c r="H402" s="7">
        <f>(F402+G402)/2</f>
        <v>-725</v>
      </c>
      <c r="I402" s="9">
        <v>10</v>
      </c>
      <c r="J402" s="10" t="s">
        <v>34</v>
      </c>
      <c r="K402" s="8" t="s">
        <v>295</v>
      </c>
      <c r="L402" s="8" t="s">
        <v>43</v>
      </c>
      <c r="M402" s="8"/>
      <c r="N402" s="8"/>
      <c r="O402" s="8" t="s">
        <v>44</v>
      </c>
      <c r="P402" s="11">
        <v>6.1</v>
      </c>
      <c r="Q402" s="11">
        <v>7.7</v>
      </c>
      <c r="R402" s="11">
        <v>7.5</v>
      </c>
      <c r="S402" s="11">
        <f>P402*4</f>
        <v>24.4</v>
      </c>
      <c r="T402" s="11">
        <f>Q402*4</f>
        <v>30.8</v>
      </c>
      <c r="U402" s="11">
        <f>R402*4</f>
        <v>30</v>
      </c>
      <c r="V402" s="12">
        <f>4/3*3.14*U402^2*T402</f>
        <v>116054.40000000001</v>
      </c>
      <c r="W402" s="12">
        <f>V402/1000</f>
        <v>116.05440000000002</v>
      </c>
    </row>
    <row r="403" spans="1:23" x14ac:dyDescent="0.25">
      <c r="A403" s="7">
        <v>404</v>
      </c>
      <c r="B403" s="8" t="s">
        <v>505</v>
      </c>
      <c r="C403" s="8" t="s">
        <v>521</v>
      </c>
      <c r="D403" s="7" t="s">
        <v>520</v>
      </c>
      <c r="E403" s="8" t="s">
        <v>25</v>
      </c>
      <c r="F403" s="7">
        <v>-900</v>
      </c>
      <c r="G403" s="7">
        <v>-550</v>
      </c>
      <c r="H403" s="7">
        <f>(F403+G403)/2</f>
        <v>-725</v>
      </c>
      <c r="I403" s="9">
        <v>2</v>
      </c>
      <c r="J403" s="10" t="s">
        <v>34</v>
      </c>
      <c r="K403" s="8" t="s">
        <v>27</v>
      </c>
      <c r="L403" s="8" t="s">
        <v>28</v>
      </c>
      <c r="M403" s="8" t="s">
        <v>39</v>
      </c>
      <c r="N403" s="8"/>
      <c r="O403" s="8" t="s">
        <v>40</v>
      </c>
      <c r="P403" s="11">
        <v>8.1</v>
      </c>
      <c r="Q403" s="11">
        <v>3.3</v>
      </c>
      <c r="R403" s="11">
        <v>8.1</v>
      </c>
      <c r="S403" s="11">
        <f>P403*4</f>
        <v>32.4</v>
      </c>
      <c r="T403" s="11">
        <f>Q403*4</f>
        <v>13.2</v>
      </c>
      <c r="U403" s="11">
        <f>R403*4</f>
        <v>32.4</v>
      </c>
      <c r="V403" s="12">
        <f>(1/3)*3.14*T403^2*(3*(U403/2)-T403)</f>
        <v>6455.9404799999984</v>
      </c>
      <c r="W403" s="12">
        <f>V403/1000</f>
        <v>6.455940479999998</v>
      </c>
    </row>
    <row r="404" spans="1:23" x14ac:dyDescent="0.25">
      <c r="A404" s="7">
        <v>405</v>
      </c>
      <c r="B404" s="8" t="s">
        <v>505</v>
      </c>
      <c r="C404" s="8" t="s">
        <v>522</v>
      </c>
      <c r="D404" s="7" t="s">
        <v>520</v>
      </c>
      <c r="E404" s="8" t="s">
        <v>25</v>
      </c>
      <c r="F404" s="7">
        <v>-900</v>
      </c>
      <c r="G404" s="7">
        <v>-550</v>
      </c>
      <c r="H404" s="7">
        <f>(F404+G404)/2</f>
        <v>-725</v>
      </c>
      <c r="I404" s="9">
        <v>3</v>
      </c>
      <c r="J404" s="10" t="s">
        <v>32</v>
      </c>
      <c r="K404" s="8" t="s">
        <v>42</v>
      </c>
      <c r="L404" s="8" t="s">
        <v>43</v>
      </c>
      <c r="M404" s="8" t="s">
        <v>39</v>
      </c>
      <c r="N404" s="8"/>
      <c r="O404" s="8" t="s">
        <v>40</v>
      </c>
      <c r="P404" s="11">
        <v>8.6</v>
      </c>
      <c r="Q404" s="11">
        <v>5.7</v>
      </c>
      <c r="R404" s="11">
        <v>9.1999999999999993</v>
      </c>
      <c r="S404" s="11">
        <f>P404*4</f>
        <v>34.4</v>
      </c>
      <c r="T404" s="11">
        <f>Q404*4</f>
        <v>22.8</v>
      </c>
      <c r="U404" s="11">
        <f>R404*4</f>
        <v>36.799999999999997</v>
      </c>
      <c r="V404" s="12">
        <f>4/3*3.14*U404^2*T404</f>
        <v>129270.33343999999</v>
      </c>
      <c r="W404" s="12">
        <f>V404/1000</f>
        <v>129.27033344</v>
      </c>
    </row>
    <row r="405" spans="1:23" x14ac:dyDescent="0.25">
      <c r="A405" s="7">
        <v>406</v>
      </c>
      <c r="B405" s="8" t="s">
        <v>505</v>
      </c>
      <c r="C405" s="8" t="s">
        <v>523</v>
      </c>
      <c r="D405" s="7" t="s">
        <v>520</v>
      </c>
      <c r="E405" s="8" t="s">
        <v>25</v>
      </c>
      <c r="F405" s="7">
        <v>-900</v>
      </c>
      <c r="G405" s="7">
        <v>-550</v>
      </c>
      <c r="H405" s="7">
        <f>(F405+G405)/2</f>
        <v>-725</v>
      </c>
      <c r="I405" s="9">
        <v>4</v>
      </c>
      <c r="J405" s="10" t="s">
        <v>26</v>
      </c>
      <c r="K405" s="8" t="s">
        <v>261</v>
      </c>
      <c r="L405" s="8" t="s">
        <v>28</v>
      </c>
      <c r="M405" s="8" t="s">
        <v>39</v>
      </c>
      <c r="N405" s="8"/>
      <c r="O405" s="8" t="s">
        <v>40</v>
      </c>
      <c r="P405" s="11">
        <v>5.0999999999999996</v>
      </c>
      <c r="Q405" s="11">
        <v>3.5</v>
      </c>
      <c r="R405" s="11">
        <v>5.0999999999999996</v>
      </c>
      <c r="S405" s="11">
        <f>P405*4</f>
        <v>20.399999999999999</v>
      </c>
      <c r="T405" s="11">
        <f>Q405*4</f>
        <v>14</v>
      </c>
      <c r="U405" s="11">
        <f>R405*4</f>
        <v>20.399999999999999</v>
      </c>
      <c r="V405" s="12">
        <f>(2/3)*3.14*(U405/2)^3</f>
        <v>2221.4620799999998</v>
      </c>
      <c r="W405" s="12">
        <f>V405/1000</f>
        <v>2.2214620799999998</v>
      </c>
    </row>
    <row r="406" spans="1:23" x14ac:dyDescent="0.25">
      <c r="A406" s="7">
        <v>407</v>
      </c>
      <c r="B406" s="8" t="s">
        <v>505</v>
      </c>
      <c r="C406" s="8" t="s">
        <v>524</v>
      </c>
      <c r="D406" s="7" t="s">
        <v>520</v>
      </c>
      <c r="E406" s="8" t="s">
        <v>25</v>
      </c>
      <c r="F406" s="7">
        <v>-900</v>
      </c>
      <c r="G406" s="7">
        <v>-550</v>
      </c>
      <c r="H406" s="7">
        <f>(F406+G406)/2</f>
        <v>-725</v>
      </c>
      <c r="I406" s="9">
        <v>4</v>
      </c>
      <c r="J406" s="10" t="s">
        <v>81</v>
      </c>
      <c r="K406" s="8" t="s">
        <v>37</v>
      </c>
      <c r="L406" s="8" t="s">
        <v>38</v>
      </c>
      <c r="M406" s="8" t="s">
        <v>39</v>
      </c>
      <c r="N406" s="8"/>
      <c r="O406" s="8" t="s">
        <v>40</v>
      </c>
      <c r="P406" s="11">
        <v>16.8</v>
      </c>
      <c r="Q406" s="11">
        <v>7.1</v>
      </c>
      <c r="R406" s="11">
        <v>16.8</v>
      </c>
      <c r="S406" s="11">
        <f>P406*4</f>
        <v>67.2</v>
      </c>
      <c r="T406" s="11">
        <f>Q406*4</f>
        <v>28.4</v>
      </c>
      <c r="U406" s="11">
        <f>R406*4</f>
        <v>67.2</v>
      </c>
      <c r="V406" s="12">
        <f>(2/3)*3.14*(U406/2)^3</f>
        <v>79406.530559999999</v>
      </c>
      <c r="W406" s="12">
        <f>V406/1000</f>
        <v>79.406530559999993</v>
      </c>
    </row>
    <row r="407" spans="1:23" x14ac:dyDescent="0.25">
      <c r="A407" s="7">
        <v>408</v>
      </c>
      <c r="B407" s="8" t="s">
        <v>505</v>
      </c>
      <c r="C407" s="8" t="s">
        <v>525</v>
      </c>
      <c r="D407" s="7" t="s">
        <v>520</v>
      </c>
      <c r="E407" s="8" t="s">
        <v>25</v>
      </c>
      <c r="F407" s="7">
        <v>-900</v>
      </c>
      <c r="G407" s="7">
        <v>-550</v>
      </c>
      <c r="H407" s="7">
        <f>(F407+G407)/2</f>
        <v>-725</v>
      </c>
      <c r="I407" s="9">
        <v>4</v>
      </c>
      <c r="J407" s="10" t="s">
        <v>81</v>
      </c>
      <c r="K407" s="8" t="s">
        <v>37</v>
      </c>
      <c r="L407" s="8" t="s">
        <v>38</v>
      </c>
      <c r="M407" s="8"/>
      <c r="N407" s="8"/>
      <c r="O407" s="8" t="s">
        <v>44</v>
      </c>
      <c r="P407" s="11">
        <v>13.6</v>
      </c>
      <c r="Q407" s="11">
        <v>7.3</v>
      </c>
      <c r="R407" s="11">
        <v>13.8</v>
      </c>
      <c r="S407" s="11">
        <f>P407*4</f>
        <v>54.4</v>
      </c>
      <c r="T407" s="11">
        <f>Q407*4</f>
        <v>29.2</v>
      </c>
      <c r="U407" s="11">
        <f>R407*4</f>
        <v>55.2</v>
      </c>
      <c r="V407" s="12">
        <f>(2/3)*3.14*(U407/2)^3</f>
        <v>44011.44576000001</v>
      </c>
      <c r="W407" s="12">
        <f>V407/1000</f>
        <v>44.011445760000008</v>
      </c>
    </row>
    <row r="408" spans="1:23" x14ac:dyDescent="0.25">
      <c r="A408" s="7">
        <v>409</v>
      </c>
      <c r="B408" s="8" t="s">
        <v>526</v>
      </c>
      <c r="C408" s="8" t="s">
        <v>527</v>
      </c>
      <c r="D408" s="7" t="s">
        <v>528</v>
      </c>
      <c r="E408" s="8" t="s">
        <v>51</v>
      </c>
      <c r="F408" s="7">
        <v>600</v>
      </c>
      <c r="G408" s="7">
        <v>1100</v>
      </c>
      <c r="H408" s="7">
        <f>(F408+G408)/2</f>
        <v>850</v>
      </c>
      <c r="I408" s="9">
        <v>5</v>
      </c>
      <c r="J408" s="10" t="s">
        <v>34</v>
      </c>
      <c r="K408" s="8" t="s">
        <v>77</v>
      </c>
      <c r="L408" s="8" t="s">
        <v>77</v>
      </c>
      <c r="M408" s="8" t="s">
        <v>140</v>
      </c>
      <c r="N408" s="8" t="s">
        <v>99</v>
      </c>
      <c r="O408" s="8" t="s">
        <v>71</v>
      </c>
      <c r="P408" s="11">
        <v>6</v>
      </c>
      <c r="Q408" s="11">
        <v>7.3</v>
      </c>
      <c r="R408" s="11">
        <v>7.9</v>
      </c>
      <c r="S408" s="11">
        <f>P408*4</f>
        <v>24</v>
      </c>
      <c r="T408" s="11">
        <f>Q408*4</f>
        <v>29.2</v>
      </c>
      <c r="U408" s="11">
        <f>R408*4</f>
        <v>31.6</v>
      </c>
      <c r="V408" s="12">
        <f>(4/3)*3.14*(U408/2)^3</f>
        <v>16513.519573333335</v>
      </c>
      <c r="W408" s="12">
        <f>V408/1000</f>
        <v>16.513519573333333</v>
      </c>
    </row>
    <row r="409" spans="1:23" x14ac:dyDescent="0.25">
      <c r="A409" s="7">
        <v>410</v>
      </c>
      <c r="B409" s="8" t="s">
        <v>526</v>
      </c>
      <c r="C409" s="8" t="s">
        <v>529</v>
      </c>
      <c r="D409" s="7" t="s">
        <v>528</v>
      </c>
      <c r="E409" s="8" t="s">
        <v>51</v>
      </c>
      <c r="F409" s="7">
        <v>600</v>
      </c>
      <c r="G409" s="7">
        <v>1100</v>
      </c>
      <c r="H409" s="7">
        <f>(F409+G409)/2</f>
        <v>850</v>
      </c>
      <c r="I409" s="9">
        <v>5</v>
      </c>
      <c r="J409" s="10" t="s">
        <v>34</v>
      </c>
      <c r="K409" s="8" t="s">
        <v>220</v>
      </c>
      <c r="L409" s="8" t="s">
        <v>220</v>
      </c>
      <c r="M409" s="8" t="s">
        <v>140</v>
      </c>
      <c r="N409" s="8" t="s">
        <v>99</v>
      </c>
      <c r="O409" s="8" t="s">
        <v>71</v>
      </c>
      <c r="P409" s="11">
        <v>5.9</v>
      </c>
      <c r="Q409" s="11">
        <v>5.9</v>
      </c>
      <c r="R409" s="11">
        <v>8.5</v>
      </c>
      <c r="S409" s="11">
        <f>P409*4</f>
        <v>23.6</v>
      </c>
      <c r="T409" s="11">
        <f>Q409*4</f>
        <v>23.6</v>
      </c>
      <c r="U409" s="11">
        <f>R409*4</f>
        <v>34</v>
      </c>
      <c r="V409" s="12">
        <f>(4/3)*3.14*(U409/2)^3</f>
        <v>20569.093333333334</v>
      </c>
      <c r="W409" s="12">
        <f>V409/1000</f>
        <v>20.569093333333335</v>
      </c>
    </row>
    <row r="410" spans="1:23" x14ac:dyDescent="0.25">
      <c r="A410" s="7">
        <v>411</v>
      </c>
      <c r="B410" s="8" t="s">
        <v>526</v>
      </c>
      <c r="C410" s="8" t="s">
        <v>530</v>
      </c>
      <c r="D410" s="7" t="s">
        <v>528</v>
      </c>
      <c r="E410" s="8" t="s">
        <v>51</v>
      </c>
      <c r="F410" s="7">
        <v>600</v>
      </c>
      <c r="G410" s="7">
        <v>1100</v>
      </c>
      <c r="H410" s="7">
        <f>(F410+G410)/2</f>
        <v>850</v>
      </c>
      <c r="I410" s="9">
        <v>5</v>
      </c>
      <c r="J410" s="10" t="s">
        <v>34</v>
      </c>
      <c r="K410" s="8" t="s">
        <v>77</v>
      </c>
      <c r="L410" s="8" t="s">
        <v>77</v>
      </c>
      <c r="M410" s="8"/>
      <c r="N410" s="8" t="s">
        <v>452</v>
      </c>
      <c r="O410" s="8" t="s">
        <v>29</v>
      </c>
      <c r="P410" s="11">
        <v>6.4</v>
      </c>
      <c r="Q410" s="11">
        <v>6.9</v>
      </c>
      <c r="R410" s="11">
        <v>8.4</v>
      </c>
      <c r="S410" s="11">
        <f>P410*4</f>
        <v>25.6</v>
      </c>
      <c r="T410" s="11">
        <f>Q410*4</f>
        <v>27.6</v>
      </c>
      <c r="U410" s="11">
        <f>R410*4</f>
        <v>33.6</v>
      </c>
      <c r="V410" s="12">
        <f>(4/3)*3.14*(U410/2)^3</f>
        <v>19851.63264</v>
      </c>
      <c r="W410" s="12">
        <f>V410/1000</f>
        <v>19.851632639999998</v>
      </c>
    </row>
    <row r="411" spans="1:23" x14ac:dyDescent="0.25">
      <c r="A411" s="7">
        <v>412</v>
      </c>
      <c r="B411" s="8" t="s">
        <v>526</v>
      </c>
      <c r="C411" s="8" t="s">
        <v>531</v>
      </c>
      <c r="D411" s="7" t="s">
        <v>528</v>
      </c>
      <c r="E411" s="8" t="s">
        <v>51</v>
      </c>
      <c r="F411" s="7">
        <v>600</v>
      </c>
      <c r="G411" s="7">
        <v>1100</v>
      </c>
      <c r="H411" s="7">
        <f>(F411+G411)/2</f>
        <v>850</v>
      </c>
      <c r="I411" s="9">
        <v>5</v>
      </c>
      <c r="J411" s="10" t="s">
        <v>34</v>
      </c>
      <c r="K411" s="8" t="s">
        <v>77</v>
      </c>
      <c r="L411" s="8" t="s">
        <v>77</v>
      </c>
      <c r="M411" s="8"/>
      <c r="N411" s="8" t="s">
        <v>452</v>
      </c>
      <c r="O411" s="8" t="s">
        <v>44</v>
      </c>
      <c r="P411" s="11">
        <v>5.9</v>
      </c>
      <c r="Q411" s="11">
        <v>5.7</v>
      </c>
      <c r="R411" s="11">
        <v>7.6</v>
      </c>
      <c r="S411" s="11">
        <f>P411*4</f>
        <v>23.6</v>
      </c>
      <c r="T411" s="11">
        <f>Q411*4</f>
        <v>22.8</v>
      </c>
      <c r="U411" s="11">
        <f>R411*4</f>
        <v>30.4</v>
      </c>
      <c r="V411" s="12">
        <f>(4/3)*3.14*(U411/2)^3</f>
        <v>14702.769493333331</v>
      </c>
      <c r="W411" s="12">
        <f>V411/1000</f>
        <v>14.702769493333331</v>
      </c>
    </row>
    <row r="412" spans="1:23" x14ac:dyDescent="0.25">
      <c r="A412" s="7">
        <v>413</v>
      </c>
      <c r="B412" s="8" t="s">
        <v>526</v>
      </c>
      <c r="C412" s="8" t="s">
        <v>532</v>
      </c>
      <c r="D412" s="7" t="s">
        <v>528</v>
      </c>
      <c r="E412" s="8" t="s">
        <v>51</v>
      </c>
      <c r="F412" s="7">
        <v>600</v>
      </c>
      <c r="G412" s="7">
        <v>1100</v>
      </c>
      <c r="H412" s="7">
        <f>(F412+G412)/2</f>
        <v>850</v>
      </c>
      <c r="I412" s="9">
        <v>5</v>
      </c>
      <c r="J412" s="10" t="s">
        <v>34</v>
      </c>
      <c r="K412" s="8" t="s">
        <v>77</v>
      </c>
      <c r="L412" s="8" t="s">
        <v>77</v>
      </c>
      <c r="M412" s="8"/>
      <c r="N412" s="8"/>
      <c r="O412" s="8" t="s">
        <v>44</v>
      </c>
      <c r="P412" s="11">
        <v>5.5</v>
      </c>
      <c r="Q412" s="11">
        <v>5</v>
      </c>
      <c r="R412" s="11">
        <v>7</v>
      </c>
      <c r="S412" s="11">
        <f>P412*4</f>
        <v>22</v>
      </c>
      <c r="T412" s="11">
        <f>Q412*4</f>
        <v>20</v>
      </c>
      <c r="U412" s="11">
        <f>R412*4</f>
        <v>28</v>
      </c>
      <c r="V412" s="12">
        <f>(4/3)*3.14*(U412/2)^3</f>
        <v>11488.213333333333</v>
      </c>
      <c r="W412" s="12">
        <f>V412/1000</f>
        <v>11.488213333333332</v>
      </c>
    </row>
    <row r="413" spans="1:23" x14ac:dyDescent="0.25">
      <c r="A413" s="7">
        <v>414</v>
      </c>
      <c r="B413" s="8" t="s">
        <v>526</v>
      </c>
      <c r="C413" s="8" t="s">
        <v>533</v>
      </c>
      <c r="D413" s="7" t="s">
        <v>528</v>
      </c>
      <c r="E413" s="8" t="s">
        <v>51</v>
      </c>
      <c r="F413" s="7">
        <v>600</v>
      </c>
      <c r="G413" s="7">
        <v>1100</v>
      </c>
      <c r="H413" s="7">
        <f>(F413+G413)/2</f>
        <v>850</v>
      </c>
      <c r="I413" s="9">
        <v>6</v>
      </c>
      <c r="J413" s="10" t="s">
        <v>32</v>
      </c>
      <c r="K413" s="8" t="s">
        <v>27</v>
      </c>
      <c r="L413" s="8" t="s">
        <v>28</v>
      </c>
      <c r="M413" s="8"/>
      <c r="N413" s="8" t="s">
        <v>99</v>
      </c>
      <c r="O413" s="8" t="s">
        <v>44</v>
      </c>
      <c r="P413" s="11">
        <v>7.5</v>
      </c>
      <c r="Q413" s="11">
        <v>6.2</v>
      </c>
      <c r="R413" s="11">
        <v>9.4</v>
      </c>
      <c r="S413" s="11">
        <f>P413*4</f>
        <v>30</v>
      </c>
      <c r="T413" s="11">
        <f>Q413*4</f>
        <v>24.8</v>
      </c>
      <c r="U413" s="11">
        <f>R413*4</f>
        <v>37.6</v>
      </c>
      <c r="V413" s="12">
        <f>(4/3)*3.14*(U413/2)^3</f>
        <v>27819.026773333338</v>
      </c>
      <c r="W413" s="12">
        <f>V413/1000</f>
        <v>27.819026773333338</v>
      </c>
    </row>
    <row r="414" spans="1:23" x14ac:dyDescent="0.25">
      <c r="A414" s="7">
        <v>415</v>
      </c>
      <c r="B414" s="8" t="s">
        <v>526</v>
      </c>
      <c r="C414" s="8" t="s">
        <v>534</v>
      </c>
      <c r="D414" s="7" t="s">
        <v>528</v>
      </c>
      <c r="E414" s="8" t="s">
        <v>51</v>
      </c>
      <c r="F414" s="7">
        <v>600</v>
      </c>
      <c r="G414" s="7">
        <v>1100</v>
      </c>
      <c r="H414" s="7">
        <f>(F414+G414)/2</f>
        <v>850</v>
      </c>
      <c r="I414" s="9">
        <v>6</v>
      </c>
      <c r="J414" s="10" t="s">
        <v>34</v>
      </c>
      <c r="K414" s="8" t="s">
        <v>27</v>
      </c>
      <c r="L414" s="8" t="s">
        <v>28</v>
      </c>
      <c r="M414" s="8"/>
      <c r="N414" s="8" t="s">
        <v>99</v>
      </c>
      <c r="O414" s="8" t="s">
        <v>44</v>
      </c>
      <c r="P414" s="11">
        <v>5.8</v>
      </c>
      <c r="Q414" s="11">
        <v>5.6</v>
      </c>
      <c r="R414" s="11">
        <v>7.7</v>
      </c>
      <c r="S414" s="11">
        <f>P414*4</f>
        <v>23.2</v>
      </c>
      <c r="T414" s="11">
        <f>Q414*4</f>
        <v>22.4</v>
      </c>
      <c r="U414" s="11">
        <f>R414*4</f>
        <v>30.8</v>
      </c>
      <c r="V414" s="12">
        <f>(4/3)*3.14*(U414/2)^3</f>
        <v>15290.811946666669</v>
      </c>
      <c r="W414" s="12">
        <f>V414/1000</f>
        <v>15.290811946666668</v>
      </c>
    </row>
    <row r="415" spans="1:23" x14ac:dyDescent="0.25">
      <c r="A415" s="7">
        <v>416</v>
      </c>
      <c r="B415" s="8" t="s">
        <v>526</v>
      </c>
      <c r="C415" s="8" t="s">
        <v>535</v>
      </c>
      <c r="D415" s="7" t="s">
        <v>528</v>
      </c>
      <c r="E415" s="8" t="s">
        <v>51</v>
      </c>
      <c r="F415" s="7">
        <v>600</v>
      </c>
      <c r="G415" s="7">
        <v>1100</v>
      </c>
      <c r="H415" s="7">
        <f>(F415+G415)/2</f>
        <v>850</v>
      </c>
      <c r="I415" s="9">
        <v>11</v>
      </c>
      <c r="J415" s="10" t="s">
        <v>34</v>
      </c>
      <c r="K415" s="8" t="s">
        <v>27</v>
      </c>
      <c r="L415" s="8" t="s">
        <v>28</v>
      </c>
      <c r="M415" s="8"/>
      <c r="N415" s="8" t="s">
        <v>452</v>
      </c>
      <c r="O415" s="8" t="s">
        <v>44</v>
      </c>
      <c r="P415" s="11">
        <v>5</v>
      </c>
      <c r="Q415" s="11">
        <v>7.1</v>
      </c>
      <c r="R415" s="11">
        <v>6.8</v>
      </c>
      <c r="S415" s="11">
        <f>P415*4</f>
        <v>20</v>
      </c>
      <c r="T415" s="11">
        <f>Q415*4</f>
        <v>28.4</v>
      </c>
      <c r="U415" s="11">
        <f>R415*4</f>
        <v>27.2</v>
      </c>
      <c r="V415" s="12">
        <f>4/3*3.14*U415^2*T415</f>
        <v>87967.962453333312</v>
      </c>
      <c r="W415" s="12">
        <f>V415/1000</f>
        <v>87.967962453333314</v>
      </c>
    </row>
    <row r="416" spans="1:23" x14ac:dyDescent="0.25">
      <c r="A416" s="7">
        <v>417</v>
      </c>
      <c r="B416" s="8" t="s">
        <v>526</v>
      </c>
      <c r="C416" s="8" t="s">
        <v>536</v>
      </c>
      <c r="D416" s="7" t="s">
        <v>528</v>
      </c>
      <c r="E416" s="8" t="s">
        <v>51</v>
      </c>
      <c r="F416" s="7">
        <v>600</v>
      </c>
      <c r="G416" s="7">
        <v>1100</v>
      </c>
      <c r="H416" s="7">
        <f>(F416+G416)/2</f>
        <v>850</v>
      </c>
      <c r="I416" s="9">
        <v>6</v>
      </c>
      <c r="J416" s="10" t="s">
        <v>26</v>
      </c>
      <c r="K416" s="8" t="s">
        <v>27</v>
      </c>
      <c r="L416" s="8" t="s">
        <v>28</v>
      </c>
      <c r="M416" s="8" t="s">
        <v>39</v>
      </c>
      <c r="N416" s="8" t="s">
        <v>452</v>
      </c>
      <c r="O416" s="8" t="s">
        <v>71</v>
      </c>
      <c r="P416" s="11">
        <v>3.6</v>
      </c>
      <c r="Q416" s="11">
        <v>4</v>
      </c>
      <c r="R416" s="11">
        <v>4.8</v>
      </c>
      <c r="S416" s="11">
        <f>P416*4</f>
        <v>14.4</v>
      </c>
      <c r="T416" s="11">
        <f>Q416*4</f>
        <v>16</v>
      </c>
      <c r="U416" s="11">
        <f>R416*4</f>
        <v>19.2</v>
      </c>
      <c r="V416" s="12">
        <f>(4/3)*3.14*(U416/2)^3</f>
        <v>3704.0947200000001</v>
      </c>
      <c r="W416" s="12">
        <f>V416/1000</f>
        <v>3.7040947200000001</v>
      </c>
    </row>
    <row r="417" spans="1:23" x14ac:dyDescent="0.25">
      <c r="A417" s="7">
        <v>418</v>
      </c>
      <c r="B417" s="8" t="s">
        <v>526</v>
      </c>
      <c r="C417" s="8" t="s">
        <v>537</v>
      </c>
      <c r="D417" s="7" t="s">
        <v>528</v>
      </c>
      <c r="E417" s="8" t="s">
        <v>51</v>
      </c>
      <c r="F417" s="7">
        <v>600</v>
      </c>
      <c r="G417" s="7">
        <v>1100</v>
      </c>
      <c r="H417" s="7">
        <f>(F417+G417)/2</f>
        <v>850</v>
      </c>
      <c r="I417" s="9">
        <v>5</v>
      </c>
      <c r="J417" s="10" t="s">
        <v>26</v>
      </c>
      <c r="K417" s="8" t="s">
        <v>27</v>
      </c>
      <c r="L417" s="8" t="s">
        <v>28</v>
      </c>
      <c r="M417" s="8"/>
      <c r="N417" s="8" t="s">
        <v>452</v>
      </c>
      <c r="O417" s="8" t="s">
        <v>44</v>
      </c>
      <c r="P417" s="11">
        <v>3.9</v>
      </c>
      <c r="Q417" s="11">
        <v>3.2</v>
      </c>
      <c r="R417" s="11">
        <v>4.8</v>
      </c>
      <c r="S417" s="11">
        <f>P417*4</f>
        <v>15.6</v>
      </c>
      <c r="T417" s="11">
        <f>Q417*4</f>
        <v>12.8</v>
      </c>
      <c r="U417" s="11">
        <f>R417*4</f>
        <v>19.2</v>
      </c>
      <c r="V417" s="12">
        <f>(4/3)*3.14*(U417/2)^3</f>
        <v>3704.0947200000001</v>
      </c>
      <c r="W417" s="12">
        <f>V417/1000</f>
        <v>3.7040947200000001</v>
      </c>
    </row>
    <row r="418" spans="1:23" x14ac:dyDescent="0.25">
      <c r="A418" s="7">
        <v>419</v>
      </c>
      <c r="B418" s="8" t="s">
        <v>526</v>
      </c>
      <c r="C418" s="8" t="s">
        <v>538</v>
      </c>
      <c r="D418" s="7" t="s">
        <v>528</v>
      </c>
      <c r="E418" s="8" t="s">
        <v>51</v>
      </c>
      <c r="F418" s="7">
        <v>600</v>
      </c>
      <c r="G418" s="7">
        <v>1100</v>
      </c>
      <c r="H418" s="7">
        <f>(F418+G418)/2</f>
        <v>850</v>
      </c>
      <c r="I418" s="9">
        <v>5</v>
      </c>
      <c r="J418" s="10" t="s">
        <v>65</v>
      </c>
      <c r="K418" s="8" t="s">
        <v>27</v>
      </c>
      <c r="L418" s="8" t="s">
        <v>28</v>
      </c>
      <c r="M418" s="8" t="s">
        <v>437</v>
      </c>
      <c r="N418" s="8" t="s">
        <v>99</v>
      </c>
      <c r="O418" s="8" t="s">
        <v>71</v>
      </c>
      <c r="P418" s="11">
        <v>2.1</v>
      </c>
      <c r="Q418" s="11">
        <v>1.8</v>
      </c>
      <c r="R418" s="11">
        <v>2.5</v>
      </c>
      <c r="S418" s="11">
        <f>P418*4</f>
        <v>8.4</v>
      </c>
      <c r="T418" s="11">
        <f>Q418*4</f>
        <v>7.2</v>
      </c>
      <c r="U418" s="11">
        <f>R418*4</f>
        <v>10</v>
      </c>
      <c r="V418" s="12">
        <f>(4/3)*3.14*(U418/2)^3</f>
        <v>523.33333333333337</v>
      </c>
      <c r="W418" s="12">
        <f>V418/1000</f>
        <v>0.52333333333333332</v>
      </c>
    </row>
    <row r="419" spans="1:23" x14ac:dyDescent="0.25">
      <c r="A419" s="7">
        <v>420</v>
      </c>
      <c r="B419" s="8" t="s">
        <v>526</v>
      </c>
      <c r="C419" s="8" t="s">
        <v>539</v>
      </c>
      <c r="D419" s="7" t="s">
        <v>528</v>
      </c>
      <c r="E419" s="8" t="s">
        <v>51</v>
      </c>
      <c r="F419" s="7">
        <v>600</v>
      </c>
      <c r="G419" s="7">
        <v>1100</v>
      </c>
      <c r="H419" s="7">
        <f>(F419+G419)/2</f>
        <v>850</v>
      </c>
      <c r="I419" s="9">
        <v>5</v>
      </c>
      <c r="J419" s="10" t="s">
        <v>65</v>
      </c>
      <c r="K419" s="8" t="s">
        <v>27</v>
      </c>
      <c r="L419" s="8" t="s">
        <v>28</v>
      </c>
      <c r="M419" s="8" t="s">
        <v>437</v>
      </c>
      <c r="N419" s="8" t="s">
        <v>99</v>
      </c>
      <c r="O419" s="8" t="s">
        <v>71</v>
      </c>
      <c r="P419" s="11">
        <v>1.6</v>
      </c>
      <c r="Q419" s="11">
        <v>1.7</v>
      </c>
      <c r="R419" s="11">
        <v>2.4</v>
      </c>
      <c r="S419" s="11">
        <f>P419*4</f>
        <v>6.4</v>
      </c>
      <c r="T419" s="11">
        <f>Q419*4</f>
        <v>6.8</v>
      </c>
      <c r="U419" s="11">
        <f>R419*4</f>
        <v>9.6</v>
      </c>
      <c r="V419" s="12">
        <f>(4/3)*3.14*(U419/2)^3</f>
        <v>463.01184000000001</v>
      </c>
      <c r="W419" s="12">
        <f>V419/1000</f>
        <v>0.46301184000000001</v>
      </c>
    </row>
    <row r="420" spans="1:23" x14ac:dyDescent="0.25">
      <c r="A420" s="7">
        <v>421</v>
      </c>
      <c r="B420" s="8" t="s">
        <v>526</v>
      </c>
      <c r="C420" s="8" t="s">
        <v>540</v>
      </c>
      <c r="D420" s="7" t="s">
        <v>528</v>
      </c>
      <c r="E420" s="8" t="s">
        <v>51</v>
      </c>
      <c r="F420" s="7">
        <v>600</v>
      </c>
      <c r="G420" s="7">
        <v>1100</v>
      </c>
      <c r="H420" s="7">
        <f>(F420+G420)/2</f>
        <v>850</v>
      </c>
      <c r="I420" s="9">
        <v>5</v>
      </c>
      <c r="J420" s="10" t="s">
        <v>65</v>
      </c>
      <c r="K420" s="8" t="s">
        <v>27</v>
      </c>
      <c r="L420" s="8" t="s">
        <v>28</v>
      </c>
      <c r="M420" s="8"/>
      <c r="N420" s="8" t="s">
        <v>99</v>
      </c>
      <c r="O420" s="8" t="s">
        <v>29</v>
      </c>
      <c r="P420" s="11">
        <v>1.7</v>
      </c>
      <c r="Q420" s="11">
        <v>1.6</v>
      </c>
      <c r="R420" s="11">
        <v>2.6</v>
      </c>
      <c r="S420" s="11">
        <f>P420*4</f>
        <v>6.8</v>
      </c>
      <c r="T420" s="11">
        <f>Q420*4</f>
        <v>6.4</v>
      </c>
      <c r="U420" s="11">
        <f>R420*4</f>
        <v>10.4</v>
      </c>
      <c r="V420" s="12">
        <f>(4/3)*3.14*(U420/2)^3</f>
        <v>588.67882666666674</v>
      </c>
      <c r="W420" s="12">
        <f>V420/1000</f>
        <v>0.58867882666666671</v>
      </c>
    </row>
    <row r="421" spans="1:23" x14ac:dyDescent="0.25">
      <c r="A421" s="7">
        <v>422</v>
      </c>
      <c r="B421" s="8" t="s">
        <v>526</v>
      </c>
      <c r="C421" s="8" t="s">
        <v>541</v>
      </c>
      <c r="D421" s="7" t="s">
        <v>528</v>
      </c>
      <c r="E421" s="8" t="s">
        <v>51</v>
      </c>
      <c r="F421" s="7">
        <v>600</v>
      </c>
      <c r="G421" s="7">
        <v>1100</v>
      </c>
      <c r="H421" s="7">
        <f>(F421+G421)/2</f>
        <v>850</v>
      </c>
      <c r="I421" s="9">
        <v>5</v>
      </c>
      <c r="J421" s="10" t="s">
        <v>65</v>
      </c>
      <c r="K421" s="8" t="s">
        <v>27</v>
      </c>
      <c r="L421" s="8" t="s">
        <v>28</v>
      </c>
      <c r="M421" s="8"/>
      <c r="N421" s="8" t="s">
        <v>99</v>
      </c>
      <c r="O421" s="8" t="s">
        <v>29</v>
      </c>
      <c r="P421" s="11">
        <v>1.6</v>
      </c>
      <c r="Q421" s="11">
        <v>1.9</v>
      </c>
      <c r="R421" s="11">
        <v>2.5</v>
      </c>
      <c r="S421" s="11">
        <f>P421*4</f>
        <v>6.4</v>
      </c>
      <c r="T421" s="11">
        <f>Q421*4</f>
        <v>7.6</v>
      </c>
      <c r="U421" s="11">
        <f>R421*4</f>
        <v>10</v>
      </c>
      <c r="V421" s="12">
        <f>(4/3)*3.14*(U421/2)^3</f>
        <v>523.33333333333337</v>
      </c>
      <c r="W421" s="12">
        <f>V421/1000</f>
        <v>0.52333333333333332</v>
      </c>
    </row>
    <row r="422" spans="1:23" x14ac:dyDescent="0.25">
      <c r="A422" s="7">
        <v>423</v>
      </c>
      <c r="B422" s="8" t="s">
        <v>526</v>
      </c>
      <c r="C422" s="8" t="s">
        <v>542</v>
      </c>
      <c r="D422" s="7" t="s">
        <v>528</v>
      </c>
      <c r="E422" s="8" t="s">
        <v>51</v>
      </c>
      <c r="F422" s="7">
        <v>600</v>
      </c>
      <c r="G422" s="7">
        <v>1100</v>
      </c>
      <c r="H422" s="7">
        <f>(F422+G422)/2</f>
        <v>850</v>
      </c>
      <c r="I422" s="9">
        <v>5</v>
      </c>
      <c r="J422" s="10" t="s">
        <v>65</v>
      </c>
      <c r="K422" s="8" t="s">
        <v>27</v>
      </c>
      <c r="L422" s="8" t="s">
        <v>28</v>
      </c>
      <c r="M422" s="8"/>
      <c r="N422" s="8" t="s">
        <v>99</v>
      </c>
      <c r="O422" s="8" t="s">
        <v>29</v>
      </c>
      <c r="P422" s="11">
        <v>1.9</v>
      </c>
      <c r="Q422" s="11">
        <v>2.1</v>
      </c>
      <c r="R422" s="11">
        <v>2.9</v>
      </c>
      <c r="S422" s="11">
        <f>P422*4</f>
        <v>7.6</v>
      </c>
      <c r="T422" s="11">
        <f>Q422*4</f>
        <v>8.4</v>
      </c>
      <c r="U422" s="11">
        <f>R422*4</f>
        <v>11.6</v>
      </c>
      <c r="V422" s="12">
        <f>(4/3)*3.14*(U422/2)^3</f>
        <v>816.86890666666659</v>
      </c>
      <c r="W422" s="12">
        <f>V422/1000</f>
        <v>0.81686890666666656</v>
      </c>
    </row>
    <row r="423" spans="1:23" x14ac:dyDescent="0.25">
      <c r="A423" s="7">
        <v>424</v>
      </c>
      <c r="B423" s="8" t="s">
        <v>526</v>
      </c>
      <c r="C423" s="8" t="s">
        <v>543</v>
      </c>
      <c r="D423" s="7" t="s">
        <v>528</v>
      </c>
      <c r="E423" s="8" t="s">
        <v>51</v>
      </c>
      <c r="F423" s="7">
        <v>600</v>
      </c>
      <c r="G423" s="7">
        <v>1100</v>
      </c>
      <c r="H423" s="7">
        <f>(F423+G423)/2</f>
        <v>850</v>
      </c>
      <c r="I423" s="9">
        <v>4</v>
      </c>
      <c r="J423" s="10" t="s">
        <v>65</v>
      </c>
      <c r="K423" s="8" t="s">
        <v>108</v>
      </c>
      <c r="L423" s="8" t="s">
        <v>109</v>
      </c>
      <c r="M423" s="8" t="s">
        <v>140</v>
      </c>
      <c r="N423" s="8" t="s">
        <v>99</v>
      </c>
      <c r="O423" s="8" t="s">
        <v>71</v>
      </c>
      <c r="P423" s="11">
        <v>2.5</v>
      </c>
      <c r="Q423" s="11">
        <v>1.3</v>
      </c>
      <c r="R423" s="11">
        <v>2.5</v>
      </c>
      <c r="S423" s="11">
        <f>P423*4</f>
        <v>10</v>
      </c>
      <c r="T423" s="11">
        <f>Q423*4</f>
        <v>5.2</v>
      </c>
      <c r="U423" s="11">
        <f>R423*4</f>
        <v>10</v>
      </c>
      <c r="V423" s="12">
        <f>(2/3)*3.14*(U423/2)^3</f>
        <v>261.66666666666669</v>
      </c>
      <c r="W423" s="12">
        <f>V423/1000</f>
        <v>0.26166666666666666</v>
      </c>
    </row>
    <row r="424" spans="1:23" x14ac:dyDescent="0.25">
      <c r="A424" s="7">
        <v>425</v>
      </c>
      <c r="B424" s="8" t="s">
        <v>526</v>
      </c>
      <c r="C424" s="8" t="s">
        <v>544</v>
      </c>
      <c r="D424" s="7" t="s">
        <v>528</v>
      </c>
      <c r="E424" s="8" t="s">
        <v>51</v>
      </c>
      <c r="F424" s="7">
        <v>600</v>
      </c>
      <c r="G424" s="7">
        <v>1100</v>
      </c>
      <c r="H424" s="7">
        <f>(F424+G424)/2</f>
        <v>850</v>
      </c>
      <c r="I424" s="9">
        <v>7</v>
      </c>
      <c r="J424" s="10" t="s">
        <v>65</v>
      </c>
      <c r="K424" s="8" t="s">
        <v>27</v>
      </c>
      <c r="L424" s="8" t="s">
        <v>28</v>
      </c>
      <c r="M424" s="8" t="s">
        <v>437</v>
      </c>
      <c r="N424" s="8"/>
      <c r="O424" s="8" t="s">
        <v>71</v>
      </c>
      <c r="P424" s="11">
        <v>2.6</v>
      </c>
      <c r="Q424" s="11">
        <v>1.9</v>
      </c>
      <c r="R424" s="11">
        <v>3.1</v>
      </c>
      <c r="S424" s="11">
        <f>P424*4</f>
        <v>10.4</v>
      </c>
      <c r="T424" s="11">
        <f>Q424*4</f>
        <v>7.6</v>
      </c>
      <c r="U424" s="11">
        <f>R424*4</f>
        <v>12.4</v>
      </c>
      <c r="V424" s="12">
        <f>4/3*3.14*U424^2*T424</f>
        <v>4892.4381866666672</v>
      </c>
      <c r="W424" s="12">
        <f>V424/1000</f>
        <v>4.8924381866666673</v>
      </c>
    </row>
    <row r="425" spans="1:23" x14ac:dyDescent="0.25">
      <c r="A425" s="7">
        <v>426</v>
      </c>
      <c r="B425" s="8" t="s">
        <v>526</v>
      </c>
      <c r="C425" s="8" t="s">
        <v>545</v>
      </c>
      <c r="D425" s="7" t="s">
        <v>528</v>
      </c>
      <c r="E425" s="8" t="s">
        <v>51</v>
      </c>
      <c r="F425" s="7">
        <v>600</v>
      </c>
      <c r="G425" s="7">
        <v>1100</v>
      </c>
      <c r="H425" s="7">
        <f>(F425+G425)/2</f>
        <v>850</v>
      </c>
      <c r="I425" s="9">
        <v>7</v>
      </c>
      <c r="J425" s="10" t="s">
        <v>65</v>
      </c>
      <c r="K425" s="8" t="s">
        <v>27</v>
      </c>
      <c r="L425" s="8" t="s">
        <v>28</v>
      </c>
      <c r="M425" s="8" t="s">
        <v>437</v>
      </c>
      <c r="N425" s="8" t="s">
        <v>99</v>
      </c>
      <c r="O425" s="8" t="s">
        <v>71</v>
      </c>
      <c r="P425" s="11">
        <v>2.2999999999999998</v>
      </c>
      <c r="Q425" s="11">
        <v>1.6</v>
      </c>
      <c r="R425" s="11">
        <v>2.9</v>
      </c>
      <c r="S425" s="11">
        <f>P425*4</f>
        <v>9.1999999999999993</v>
      </c>
      <c r="T425" s="11">
        <f>Q425*4</f>
        <v>6.4</v>
      </c>
      <c r="U425" s="11">
        <f>R425*4</f>
        <v>11.6</v>
      </c>
      <c r="V425" s="12">
        <f>4/3*3.14*U425^2*T425</f>
        <v>3605.4903466666665</v>
      </c>
      <c r="W425" s="12">
        <f>V425/1000</f>
        <v>3.6054903466666666</v>
      </c>
    </row>
    <row r="426" spans="1:23" x14ac:dyDescent="0.25">
      <c r="A426" s="7">
        <v>427</v>
      </c>
      <c r="B426" s="8" t="s">
        <v>526</v>
      </c>
      <c r="C426" s="8" t="s">
        <v>546</v>
      </c>
      <c r="D426" s="7" t="s">
        <v>528</v>
      </c>
      <c r="E426" s="8" t="s">
        <v>51</v>
      </c>
      <c r="F426" s="7">
        <v>600</v>
      </c>
      <c r="G426" s="7">
        <v>1100</v>
      </c>
      <c r="H426" s="7">
        <f>(F426+G426)/2</f>
        <v>850</v>
      </c>
      <c r="I426" s="9">
        <v>7</v>
      </c>
      <c r="J426" s="10" t="s">
        <v>65</v>
      </c>
      <c r="K426" s="8" t="s">
        <v>27</v>
      </c>
      <c r="L426" s="8" t="s">
        <v>28</v>
      </c>
      <c r="M426" s="8" t="s">
        <v>140</v>
      </c>
      <c r="N426" s="8" t="s">
        <v>99</v>
      </c>
      <c r="O426" s="8" t="s">
        <v>71</v>
      </c>
      <c r="P426" s="11">
        <v>2.6</v>
      </c>
      <c r="Q426" s="11">
        <v>1.7</v>
      </c>
      <c r="R426" s="11">
        <v>3.4</v>
      </c>
      <c r="S426" s="11">
        <f>P426*4</f>
        <v>10.4</v>
      </c>
      <c r="T426" s="11">
        <f>Q426*4</f>
        <v>6.8</v>
      </c>
      <c r="U426" s="11">
        <f>R426*4</f>
        <v>13.6</v>
      </c>
      <c r="V426" s="12">
        <f>4/3*3.14*U426^2*T426</f>
        <v>5265.6878933333319</v>
      </c>
      <c r="W426" s="12">
        <f>V426/1000</f>
        <v>5.2656878933333315</v>
      </c>
    </row>
    <row r="427" spans="1:23" x14ac:dyDescent="0.25">
      <c r="A427" s="7">
        <v>428</v>
      </c>
      <c r="B427" s="8" t="s">
        <v>526</v>
      </c>
      <c r="C427" s="8" t="s">
        <v>547</v>
      </c>
      <c r="D427" s="7" t="s">
        <v>528</v>
      </c>
      <c r="E427" s="8" t="s">
        <v>51</v>
      </c>
      <c r="F427" s="7">
        <v>600</v>
      </c>
      <c r="G427" s="7">
        <v>1100</v>
      </c>
      <c r="H427" s="7">
        <f>(F427+G427)/2</f>
        <v>850</v>
      </c>
      <c r="I427" s="9">
        <v>4</v>
      </c>
      <c r="J427" s="10" t="s">
        <v>65</v>
      </c>
      <c r="K427" s="8" t="s">
        <v>27</v>
      </c>
      <c r="L427" s="8" t="s">
        <v>28</v>
      </c>
      <c r="M427" s="8"/>
      <c r="N427" s="8"/>
      <c r="O427" s="8" t="s">
        <v>29</v>
      </c>
      <c r="P427" s="11">
        <v>2.9</v>
      </c>
      <c r="Q427" s="11">
        <v>2.2000000000000002</v>
      </c>
      <c r="R427" s="11">
        <v>2.9</v>
      </c>
      <c r="S427" s="11">
        <f>P427*4</f>
        <v>11.6</v>
      </c>
      <c r="T427" s="11">
        <f>Q427*4</f>
        <v>8.8000000000000007</v>
      </c>
      <c r="U427" s="11">
        <f>R427*4</f>
        <v>11.6</v>
      </c>
      <c r="V427" s="12">
        <f>(2/3)*3.14*(U427/2)^3</f>
        <v>408.43445333333329</v>
      </c>
      <c r="W427" s="12">
        <f>V427/1000</f>
        <v>0.40843445333333328</v>
      </c>
    </row>
    <row r="428" spans="1:23" x14ac:dyDescent="0.25">
      <c r="A428" s="7">
        <v>429</v>
      </c>
      <c r="B428" s="8" t="s">
        <v>526</v>
      </c>
      <c r="C428" s="8" t="s">
        <v>548</v>
      </c>
      <c r="D428" s="7" t="s">
        <v>528</v>
      </c>
      <c r="E428" s="8" t="s">
        <v>51</v>
      </c>
      <c r="F428" s="7">
        <v>600</v>
      </c>
      <c r="G428" s="7">
        <v>1100</v>
      </c>
      <c r="H428" s="7">
        <f>(F428+G428)/2</f>
        <v>850</v>
      </c>
      <c r="I428" s="9">
        <v>4</v>
      </c>
      <c r="J428" s="10" t="s">
        <v>65</v>
      </c>
      <c r="K428" s="8" t="s">
        <v>108</v>
      </c>
      <c r="L428" s="8" t="s">
        <v>109</v>
      </c>
      <c r="M428" s="8" t="s">
        <v>315</v>
      </c>
      <c r="N428" s="8"/>
      <c r="O428" s="8" t="s">
        <v>71</v>
      </c>
      <c r="P428" s="11">
        <v>2.5</v>
      </c>
      <c r="Q428" s="11">
        <v>2.2000000000000002</v>
      </c>
      <c r="R428" s="11">
        <v>2.5</v>
      </c>
      <c r="S428" s="11">
        <f>P428*4</f>
        <v>10</v>
      </c>
      <c r="T428" s="11">
        <f>Q428*4</f>
        <v>8.8000000000000007</v>
      </c>
      <c r="U428" s="11">
        <f>R428*4</f>
        <v>10</v>
      </c>
      <c r="V428" s="12">
        <f>(2/3)*3.14*(U428/2)^3</f>
        <v>261.66666666666669</v>
      </c>
      <c r="W428" s="12">
        <f>V428/1000</f>
        <v>0.26166666666666666</v>
      </c>
    </row>
    <row r="429" spans="1:23" x14ac:dyDescent="0.25">
      <c r="A429" s="7">
        <v>430</v>
      </c>
      <c r="B429" s="8" t="s">
        <v>526</v>
      </c>
      <c r="C429" s="8" t="s">
        <v>549</v>
      </c>
      <c r="D429" s="7" t="s">
        <v>528</v>
      </c>
      <c r="E429" s="8" t="s">
        <v>51</v>
      </c>
      <c r="F429" s="7">
        <v>600</v>
      </c>
      <c r="G429" s="7">
        <v>1100</v>
      </c>
      <c r="H429" s="7">
        <f>(F429+G429)/2</f>
        <v>850</v>
      </c>
      <c r="I429" s="9">
        <v>4</v>
      </c>
      <c r="J429" s="10" t="s">
        <v>65</v>
      </c>
      <c r="K429" s="8" t="s">
        <v>27</v>
      </c>
      <c r="L429" s="8" t="s">
        <v>28</v>
      </c>
      <c r="M429" s="8" t="s">
        <v>315</v>
      </c>
      <c r="N429" s="8"/>
      <c r="O429" s="8" t="s">
        <v>71</v>
      </c>
      <c r="P429" s="11">
        <v>2.4</v>
      </c>
      <c r="Q429" s="11">
        <v>2.2999999999999998</v>
      </c>
      <c r="R429" s="11">
        <v>2.6</v>
      </c>
      <c r="S429" s="11">
        <f>P429*4</f>
        <v>9.6</v>
      </c>
      <c r="T429" s="11">
        <f>Q429*4</f>
        <v>9.1999999999999993</v>
      </c>
      <c r="U429" s="11">
        <f>R429*4</f>
        <v>10.4</v>
      </c>
      <c r="V429" s="12">
        <f>(2/3)*3.14*(U429/2)^3</f>
        <v>294.33941333333337</v>
      </c>
      <c r="W429" s="12">
        <f>V429/1000</f>
        <v>0.29433941333333336</v>
      </c>
    </row>
    <row r="430" spans="1:23" x14ac:dyDescent="0.25">
      <c r="A430" s="7">
        <v>431</v>
      </c>
      <c r="B430" s="8" t="s">
        <v>526</v>
      </c>
      <c r="C430" s="8" t="s">
        <v>550</v>
      </c>
      <c r="D430" s="7" t="s">
        <v>528</v>
      </c>
      <c r="E430" s="8" t="s">
        <v>51</v>
      </c>
      <c r="F430" s="7">
        <v>600</v>
      </c>
      <c r="G430" s="7">
        <v>1100</v>
      </c>
      <c r="H430" s="7">
        <f>(F430+G430)/2</f>
        <v>850</v>
      </c>
      <c r="I430" s="9">
        <v>3</v>
      </c>
      <c r="J430" s="10" t="s">
        <v>65</v>
      </c>
      <c r="K430" s="8" t="s">
        <v>27</v>
      </c>
      <c r="L430" s="8" t="s">
        <v>28</v>
      </c>
      <c r="M430" s="8" t="s">
        <v>437</v>
      </c>
      <c r="N430" s="8"/>
      <c r="O430" s="8" t="s">
        <v>71</v>
      </c>
      <c r="P430" s="11">
        <v>3</v>
      </c>
      <c r="Q430" s="11">
        <v>1.7</v>
      </c>
      <c r="R430" s="11">
        <v>3.3</v>
      </c>
      <c r="S430" s="11">
        <f>P430*4</f>
        <v>12</v>
      </c>
      <c r="T430" s="11">
        <f>Q430*4</f>
        <v>6.8</v>
      </c>
      <c r="U430" s="11">
        <f>R430*4</f>
        <v>13.2</v>
      </c>
      <c r="V430" s="12">
        <f>4/3*3.14*U430^2*T430</f>
        <v>4960.4966399999994</v>
      </c>
      <c r="W430" s="12">
        <f>V430/1000</f>
        <v>4.9604966399999997</v>
      </c>
    </row>
    <row r="431" spans="1:23" x14ac:dyDescent="0.25">
      <c r="A431" s="7">
        <v>432</v>
      </c>
      <c r="B431" s="8" t="s">
        <v>526</v>
      </c>
      <c r="C431" s="8" t="s">
        <v>551</v>
      </c>
      <c r="D431" s="7" t="s">
        <v>528</v>
      </c>
      <c r="E431" s="8" t="s">
        <v>51</v>
      </c>
      <c r="F431" s="7">
        <v>600</v>
      </c>
      <c r="G431" s="7">
        <v>1100</v>
      </c>
      <c r="H431" s="7">
        <f>(F431+G431)/2</f>
        <v>850</v>
      </c>
      <c r="I431" s="9">
        <v>3</v>
      </c>
      <c r="J431" s="10" t="s">
        <v>65</v>
      </c>
      <c r="K431" s="8" t="s">
        <v>27</v>
      </c>
      <c r="L431" s="8" t="s">
        <v>28</v>
      </c>
      <c r="M431" s="8" t="s">
        <v>437</v>
      </c>
      <c r="N431" s="8"/>
      <c r="O431" s="8" t="s">
        <v>71</v>
      </c>
      <c r="P431" s="11">
        <v>2.8</v>
      </c>
      <c r="Q431" s="11">
        <v>2</v>
      </c>
      <c r="R431" s="11">
        <v>3.4</v>
      </c>
      <c r="S431" s="11">
        <f>P431*4</f>
        <v>11.2</v>
      </c>
      <c r="T431" s="11">
        <f>Q431*4</f>
        <v>8</v>
      </c>
      <c r="U431" s="11">
        <f>R431*4</f>
        <v>13.6</v>
      </c>
      <c r="V431" s="12">
        <f>4/3*3.14*U431^2*T431</f>
        <v>6194.9269333333323</v>
      </c>
      <c r="W431" s="12">
        <f>V431/1000</f>
        <v>6.1949269333333321</v>
      </c>
    </row>
    <row r="432" spans="1:23" x14ac:dyDescent="0.25">
      <c r="A432" s="7">
        <v>433</v>
      </c>
      <c r="B432" s="8" t="s">
        <v>526</v>
      </c>
      <c r="C432" s="8" t="s">
        <v>552</v>
      </c>
      <c r="D432" s="7" t="s">
        <v>528</v>
      </c>
      <c r="E432" s="8" t="s">
        <v>51</v>
      </c>
      <c r="F432" s="7">
        <v>600</v>
      </c>
      <c r="G432" s="7">
        <v>1100</v>
      </c>
      <c r="H432" s="7">
        <f>(F432+G432)/2</f>
        <v>850</v>
      </c>
      <c r="I432" s="9">
        <v>5</v>
      </c>
      <c r="J432" s="10" t="s">
        <v>65</v>
      </c>
      <c r="K432" s="8" t="s">
        <v>27</v>
      </c>
      <c r="L432" s="8" t="s">
        <v>28</v>
      </c>
      <c r="M432" s="8" t="s">
        <v>437</v>
      </c>
      <c r="N432" s="8"/>
      <c r="O432" s="8" t="s">
        <v>71</v>
      </c>
      <c r="P432" s="11">
        <v>2.2999999999999998</v>
      </c>
      <c r="Q432" s="11">
        <v>2.1</v>
      </c>
      <c r="R432" s="11">
        <v>2.8</v>
      </c>
      <c r="S432" s="11">
        <f>P432*4</f>
        <v>9.1999999999999993</v>
      </c>
      <c r="T432" s="11">
        <f>Q432*4</f>
        <v>8.4</v>
      </c>
      <c r="U432" s="11">
        <f>R432*4</f>
        <v>11.2</v>
      </c>
      <c r="V432" s="12">
        <f>(4/3)*3.14*(U432/2)^3</f>
        <v>735.24565333333317</v>
      </c>
      <c r="W432" s="12">
        <f>V432/1000</f>
        <v>0.73524565333333314</v>
      </c>
    </row>
    <row r="433" spans="1:23" x14ac:dyDescent="0.25">
      <c r="A433" s="7">
        <v>434</v>
      </c>
      <c r="B433" s="8" t="s">
        <v>526</v>
      </c>
      <c r="C433" s="8" t="s">
        <v>553</v>
      </c>
      <c r="D433" s="7" t="s">
        <v>528</v>
      </c>
      <c r="E433" s="8" t="s">
        <v>51</v>
      </c>
      <c r="F433" s="7">
        <v>600</v>
      </c>
      <c r="G433" s="7">
        <v>1100</v>
      </c>
      <c r="H433" s="7">
        <f>(F433+G433)/2</f>
        <v>850</v>
      </c>
      <c r="I433" s="9">
        <v>5</v>
      </c>
      <c r="J433" s="10" t="s">
        <v>26</v>
      </c>
      <c r="K433" s="8" t="s">
        <v>108</v>
      </c>
      <c r="L433" s="8" t="s">
        <v>109</v>
      </c>
      <c r="M433" s="8"/>
      <c r="N433" s="8"/>
      <c r="O433" s="8" t="s">
        <v>29</v>
      </c>
      <c r="P433" s="11">
        <v>4.2</v>
      </c>
      <c r="Q433" s="11">
        <v>3.2</v>
      </c>
      <c r="R433" s="11">
        <v>4.5999999999999996</v>
      </c>
      <c r="S433" s="11">
        <f>P433*4</f>
        <v>16.8</v>
      </c>
      <c r="T433" s="11">
        <f>Q433*4</f>
        <v>12.8</v>
      </c>
      <c r="U433" s="11">
        <f>R433*4</f>
        <v>18.399999999999999</v>
      </c>
      <c r="V433" s="12">
        <f>(4/3)*3.14*(U433/2)^3</f>
        <v>3260.1070933333322</v>
      </c>
      <c r="W433" s="12">
        <f>V433/1000</f>
        <v>3.2601070933333323</v>
      </c>
    </row>
    <row r="434" spans="1:23" x14ac:dyDescent="0.25">
      <c r="A434" s="7">
        <v>435</v>
      </c>
      <c r="B434" s="8" t="s">
        <v>526</v>
      </c>
      <c r="C434" s="8" t="s">
        <v>554</v>
      </c>
      <c r="D434" s="7" t="s">
        <v>528</v>
      </c>
      <c r="E434" s="8" t="s">
        <v>51</v>
      </c>
      <c r="F434" s="7">
        <v>600</v>
      </c>
      <c r="G434" s="7">
        <v>1100</v>
      </c>
      <c r="H434" s="7">
        <f>(F434+G434)/2</f>
        <v>850</v>
      </c>
      <c r="I434" s="9">
        <v>5</v>
      </c>
      <c r="J434" s="10" t="s">
        <v>26</v>
      </c>
      <c r="K434" s="8" t="s">
        <v>108</v>
      </c>
      <c r="L434" s="8" t="s">
        <v>109</v>
      </c>
      <c r="M434" s="8"/>
      <c r="N434" s="8"/>
      <c r="O434" s="8" t="s">
        <v>44</v>
      </c>
      <c r="P434" s="11">
        <v>3.8</v>
      </c>
      <c r="Q434" s="11">
        <v>3.2</v>
      </c>
      <c r="R434" s="11">
        <v>4.3</v>
      </c>
      <c r="S434" s="11">
        <f>P434*4</f>
        <v>15.2</v>
      </c>
      <c r="T434" s="11">
        <f>Q434*4</f>
        <v>12.8</v>
      </c>
      <c r="U434" s="11">
        <f>R434*4</f>
        <v>17.2</v>
      </c>
      <c r="V434" s="12">
        <f>(4/3)*3.14*(U434/2)^3</f>
        <v>2662.9544533333328</v>
      </c>
      <c r="W434" s="12">
        <f>V434/1000</f>
        <v>2.6629544533333327</v>
      </c>
    </row>
    <row r="435" spans="1:23" x14ac:dyDescent="0.25">
      <c r="A435" s="7">
        <v>436</v>
      </c>
      <c r="B435" s="8" t="s">
        <v>526</v>
      </c>
      <c r="C435" s="8" t="s">
        <v>555</v>
      </c>
      <c r="D435" s="7" t="s">
        <v>528</v>
      </c>
      <c r="E435" s="8" t="s">
        <v>51</v>
      </c>
      <c r="F435" s="7">
        <v>600</v>
      </c>
      <c r="G435" s="7">
        <v>1100</v>
      </c>
      <c r="H435" s="7">
        <f>(F435+G435)/2</f>
        <v>850</v>
      </c>
      <c r="I435" s="9">
        <v>5</v>
      </c>
      <c r="J435" s="10" t="s">
        <v>65</v>
      </c>
      <c r="K435" s="8" t="s">
        <v>157</v>
      </c>
      <c r="L435" s="8" t="s">
        <v>38</v>
      </c>
      <c r="M435" s="8"/>
      <c r="N435" s="8"/>
      <c r="O435" s="8" t="s">
        <v>44</v>
      </c>
      <c r="P435" s="11">
        <v>3.1</v>
      </c>
      <c r="Q435" s="11">
        <v>2.2999999999999998</v>
      </c>
      <c r="R435" s="11">
        <v>3.4</v>
      </c>
      <c r="S435" s="11">
        <f>P435*4</f>
        <v>12.4</v>
      </c>
      <c r="T435" s="11">
        <f>Q435*4</f>
        <v>9.1999999999999993</v>
      </c>
      <c r="U435" s="11">
        <f>R435*4</f>
        <v>13.6</v>
      </c>
      <c r="V435" s="12">
        <f>(4/3)*3.14*(U435/2)^3</f>
        <v>1316.4219733333332</v>
      </c>
      <c r="W435" s="12">
        <f>V435/1000</f>
        <v>1.3164219733333331</v>
      </c>
    </row>
    <row r="436" spans="1:23" x14ac:dyDescent="0.25">
      <c r="A436" s="7">
        <v>437</v>
      </c>
      <c r="B436" s="8" t="s">
        <v>526</v>
      </c>
      <c r="C436" s="8" t="s">
        <v>556</v>
      </c>
      <c r="D436" s="7" t="s">
        <v>528</v>
      </c>
      <c r="E436" s="8" t="s">
        <v>51</v>
      </c>
      <c r="F436" s="7">
        <v>600</v>
      </c>
      <c r="G436" s="7">
        <v>1100</v>
      </c>
      <c r="H436" s="7">
        <f>(F436+G436)/2</f>
        <v>850</v>
      </c>
      <c r="I436" s="9">
        <v>4</v>
      </c>
      <c r="J436" s="10" t="s">
        <v>65</v>
      </c>
      <c r="K436" s="8" t="s">
        <v>108</v>
      </c>
      <c r="L436" s="8" t="s">
        <v>109</v>
      </c>
      <c r="M436" s="8"/>
      <c r="N436" s="8"/>
      <c r="O436" s="8" t="s">
        <v>29</v>
      </c>
      <c r="P436" s="11">
        <v>2.6</v>
      </c>
      <c r="Q436" s="11">
        <v>2</v>
      </c>
      <c r="R436" s="11">
        <v>2.9</v>
      </c>
      <c r="S436" s="11">
        <f>P436*4</f>
        <v>10.4</v>
      </c>
      <c r="T436" s="11">
        <f>Q436*4</f>
        <v>8</v>
      </c>
      <c r="U436" s="11">
        <f>R436*4</f>
        <v>11.6</v>
      </c>
      <c r="V436" s="12">
        <f>(2/3)*3.14*(U436/2)^3</f>
        <v>408.43445333333329</v>
      </c>
      <c r="W436" s="12">
        <f>V436/1000</f>
        <v>0.40843445333333328</v>
      </c>
    </row>
    <row r="437" spans="1:23" x14ac:dyDescent="0.25">
      <c r="A437" s="7">
        <v>438</v>
      </c>
      <c r="B437" s="8" t="s">
        <v>526</v>
      </c>
      <c r="C437" s="8" t="s">
        <v>557</v>
      </c>
      <c r="D437" s="7" t="s">
        <v>528</v>
      </c>
      <c r="E437" s="8" t="s">
        <v>51</v>
      </c>
      <c r="F437" s="7">
        <v>600</v>
      </c>
      <c r="G437" s="7">
        <v>1100</v>
      </c>
      <c r="H437" s="7">
        <f>(F437+G437)/2</f>
        <v>850</v>
      </c>
      <c r="I437" s="9">
        <v>5</v>
      </c>
      <c r="J437" s="10" t="s">
        <v>26</v>
      </c>
      <c r="K437" s="8" t="s">
        <v>27</v>
      </c>
      <c r="L437" s="8" t="s">
        <v>28</v>
      </c>
      <c r="M437" s="8"/>
      <c r="N437" s="8"/>
      <c r="O437" s="8" t="s">
        <v>29</v>
      </c>
      <c r="P437" s="11">
        <v>2.9</v>
      </c>
      <c r="Q437" s="11">
        <v>3.2</v>
      </c>
      <c r="R437" s="11">
        <v>3.9</v>
      </c>
      <c r="S437" s="11">
        <f>P437*4</f>
        <v>11.6</v>
      </c>
      <c r="T437" s="11">
        <f>Q437*4</f>
        <v>12.8</v>
      </c>
      <c r="U437" s="11">
        <f>R437*4</f>
        <v>15.6</v>
      </c>
      <c r="V437" s="12">
        <f>(4/3)*3.14*(U437/2)^3</f>
        <v>1986.7910399999998</v>
      </c>
      <c r="W437" s="12">
        <f>V437/1000</f>
        <v>1.9867910399999997</v>
      </c>
    </row>
    <row r="438" spans="1:23" x14ac:dyDescent="0.25">
      <c r="A438" s="7">
        <v>439</v>
      </c>
      <c r="B438" s="8" t="s">
        <v>526</v>
      </c>
      <c r="C438" s="8" t="s">
        <v>558</v>
      </c>
      <c r="D438" s="7" t="s">
        <v>528</v>
      </c>
      <c r="E438" s="8" t="s">
        <v>51</v>
      </c>
      <c r="F438" s="7">
        <v>600</v>
      </c>
      <c r="G438" s="7">
        <v>1100</v>
      </c>
      <c r="H438" s="7">
        <f>(F438+G438)/2</f>
        <v>850</v>
      </c>
      <c r="I438" s="9">
        <v>4</v>
      </c>
      <c r="J438" s="10" t="s">
        <v>65</v>
      </c>
      <c r="K438" s="8" t="s">
        <v>42</v>
      </c>
      <c r="L438" s="8" t="s">
        <v>43</v>
      </c>
      <c r="M438" s="8" t="s">
        <v>39</v>
      </c>
      <c r="N438" s="8"/>
      <c r="O438" s="8" t="s">
        <v>71</v>
      </c>
      <c r="P438" s="11">
        <v>3.5</v>
      </c>
      <c r="Q438" s="11">
        <v>2.9</v>
      </c>
      <c r="R438" s="11">
        <v>3.3</v>
      </c>
      <c r="S438" s="11">
        <f>P438*4</f>
        <v>14</v>
      </c>
      <c r="T438" s="11">
        <f>Q438*4</f>
        <v>11.6</v>
      </c>
      <c r="U438" s="11">
        <f>R438*4</f>
        <v>13.2</v>
      </c>
      <c r="V438" s="12">
        <f>(2/3)*3.14*(U438/2)^3</f>
        <v>601.82495999999992</v>
      </c>
      <c r="W438" s="12">
        <f>V438/1000</f>
        <v>0.60182495999999996</v>
      </c>
    </row>
    <row r="439" spans="1:23" x14ac:dyDescent="0.25">
      <c r="A439" s="7">
        <v>440</v>
      </c>
      <c r="B439" s="8" t="s">
        <v>526</v>
      </c>
      <c r="C439" s="8" t="s">
        <v>559</v>
      </c>
      <c r="D439" s="7" t="s">
        <v>528</v>
      </c>
      <c r="E439" s="8" t="s">
        <v>51</v>
      </c>
      <c r="F439" s="7">
        <v>600</v>
      </c>
      <c r="G439" s="7">
        <v>1100</v>
      </c>
      <c r="H439" s="7">
        <f>(F439+G439)/2</f>
        <v>850</v>
      </c>
      <c r="I439" s="9">
        <v>5</v>
      </c>
      <c r="J439" s="10" t="s">
        <v>65</v>
      </c>
      <c r="K439" s="8" t="s">
        <v>137</v>
      </c>
      <c r="L439" s="8" t="s">
        <v>138</v>
      </c>
      <c r="M439" s="8"/>
      <c r="N439" s="8"/>
      <c r="O439" s="8" t="s">
        <v>29</v>
      </c>
      <c r="P439" s="11">
        <v>2.7</v>
      </c>
      <c r="Q439" s="11">
        <v>2.8</v>
      </c>
      <c r="R439" s="11">
        <v>3.6</v>
      </c>
      <c r="S439" s="11">
        <f>P439*4</f>
        <v>10.8</v>
      </c>
      <c r="T439" s="11">
        <f>Q439*4</f>
        <v>11.2</v>
      </c>
      <c r="U439" s="11">
        <f>R439*4</f>
        <v>14.4</v>
      </c>
      <c r="V439" s="12">
        <f>(4/3)*3.14*(U439/2)^3</f>
        <v>1562.6649600000001</v>
      </c>
      <c r="W439" s="12">
        <f>V439/1000</f>
        <v>1.56266496</v>
      </c>
    </row>
    <row r="440" spans="1:23" x14ac:dyDescent="0.25">
      <c r="A440" s="7">
        <v>441</v>
      </c>
      <c r="B440" s="8" t="s">
        <v>526</v>
      </c>
      <c r="C440" s="8" t="s">
        <v>560</v>
      </c>
      <c r="D440" s="7" t="s">
        <v>528</v>
      </c>
      <c r="E440" s="8" t="s">
        <v>51</v>
      </c>
      <c r="F440" s="7">
        <v>600</v>
      </c>
      <c r="G440" s="7">
        <v>1100</v>
      </c>
      <c r="H440" s="7">
        <f>(F440+G440)/2</f>
        <v>850</v>
      </c>
      <c r="I440" s="9">
        <v>15</v>
      </c>
      <c r="J440" s="10" t="s">
        <v>34</v>
      </c>
      <c r="K440" s="8" t="s">
        <v>27</v>
      </c>
      <c r="L440" s="8" t="s">
        <v>28</v>
      </c>
      <c r="M440" s="8" t="s">
        <v>561</v>
      </c>
      <c r="N440" s="8"/>
      <c r="O440" s="8" t="s">
        <v>71</v>
      </c>
      <c r="P440" s="11">
        <v>7.3</v>
      </c>
      <c r="Q440" s="11">
        <v>5.6</v>
      </c>
      <c r="R440" s="11">
        <v>7.3</v>
      </c>
      <c r="S440" s="11">
        <f>P440*4</f>
        <v>29.2</v>
      </c>
      <c r="T440" s="11">
        <f>Q440*4</f>
        <v>22.4</v>
      </c>
      <c r="U440" s="11">
        <f>R440*4</f>
        <v>29.2</v>
      </c>
      <c r="V440" s="12"/>
      <c r="W440" s="12">
        <f>V440/1000</f>
        <v>0</v>
      </c>
    </row>
    <row r="441" spans="1:23" x14ac:dyDescent="0.25">
      <c r="A441" s="7">
        <v>442</v>
      </c>
      <c r="B441" s="8" t="s">
        <v>526</v>
      </c>
      <c r="C441" s="8" t="s">
        <v>562</v>
      </c>
      <c r="D441" s="7" t="s">
        <v>528</v>
      </c>
      <c r="E441" s="8" t="s">
        <v>51</v>
      </c>
      <c r="F441" s="7">
        <v>600</v>
      </c>
      <c r="G441" s="7">
        <v>1100</v>
      </c>
      <c r="H441" s="7">
        <f>(F441+G441)/2</f>
        <v>850</v>
      </c>
      <c r="I441" s="9">
        <v>15</v>
      </c>
      <c r="J441" s="10" t="s">
        <v>65</v>
      </c>
      <c r="K441" s="8" t="s">
        <v>108</v>
      </c>
      <c r="L441" s="8" t="s">
        <v>109</v>
      </c>
      <c r="M441" s="8" t="s">
        <v>561</v>
      </c>
      <c r="N441" s="8"/>
      <c r="O441" s="8" t="s">
        <v>29</v>
      </c>
      <c r="P441" s="11">
        <v>3.2</v>
      </c>
      <c r="Q441" s="11">
        <v>0</v>
      </c>
      <c r="R441" s="11">
        <v>3.2</v>
      </c>
      <c r="S441" s="11">
        <f>P441*4</f>
        <v>12.8</v>
      </c>
      <c r="T441" s="11">
        <f>Q441*4</f>
        <v>0</v>
      </c>
      <c r="U441" s="11">
        <f>R441*4</f>
        <v>12.8</v>
      </c>
      <c r="V441" s="12"/>
      <c r="W441" s="12">
        <f>V441/1000</f>
        <v>0</v>
      </c>
    </row>
    <row r="442" spans="1:23" x14ac:dyDescent="0.25">
      <c r="A442" s="7">
        <v>443</v>
      </c>
      <c r="B442" s="8" t="s">
        <v>526</v>
      </c>
      <c r="C442" s="8" t="s">
        <v>563</v>
      </c>
      <c r="D442" s="7" t="s">
        <v>528</v>
      </c>
      <c r="E442" s="8" t="s">
        <v>51</v>
      </c>
      <c r="F442" s="7">
        <v>600</v>
      </c>
      <c r="G442" s="7">
        <v>1100</v>
      </c>
      <c r="H442" s="7">
        <f>(F442+G442)/2</f>
        <v>850</v>
      </c>
      <c r="I442" s="9">
        <v>15</v>
      </c>
      <c r="J442" s="10" t="s">
        <v>26</v>
      </c>
      <c r="K442" s="8" t="s">
        <v>108</v>
      </c>
      <c r="L442" s="8" t="s">
        <v>109</v>
      </c>
      <c r="M442" s="8" t="s">
        <v>561</v>
      </c>
      <c r="N442" s="8"/>
      <c r="O442" s="8" t="s">
        <v>71</v>
      </c>
      <c r="P442" s="11">
        <v>5.5</v>
      </c>
      <c r="Q442" s="11">
        <v>4.5999999999999996</v>
      </c>
      <c r="R442" s="11">
        <v>5.5</v>
      </c>
      <c r="S442" s="11">
        <f>P442*4</f>
        <v>22</v>
      </c>
      <c r="T442" s="11">
        <f>Q442*4</f>
        <v>18.399999999999999</v>
      </c>
      <c r="U442" s="11">
        <f>R442*4</f>
        <v>22</v>
      </c>
      <c r="V442" s="12"/>
      <c r="W442" s="12">
        <f>V442/1000</f>
        <v>0</v>
      </c>
    </row>
    <row r="443" spans="1:23" x14ac:dyDescent="0.25">
      <c r="A443" s="7">
        <v>444</v>
      </c>
      <c r="B443" s="8" t="s">
        <v>526</v>
      </c>
      <c r="C443" s="8" t="s">
        <v>564</v>
      </c>
      <c r="D443" s="7" t="s">
        <v>528</v>
      </c>
      <c r="E443" s="8" t="s">
        <v>51</v>
      </c>
      <c r="F443" s="7">
        <v>600</v>
      </c>
      <c r="G443" s="7">
        <v>1100</v>
      </c>
      <c r="H443" s="7">
        <f>(F443+G443)/2</f>
        <v>850</v>
      </c>
      <c r="I443" s="9">
        <v>15</v>
      </c>
      <c r="J443" s="10" t="s">
        <v>26</v>
      </c>
      <c r="K443" s="8" t="s">
        <v>108</v>
      </c>
      <c r="L443" s="8" t="s">
        <v>109</v>
      </c>
      <c r="M443" s="8" t="s">
        <v>561</v>
      </c>
      <c r="N443" s="8"/>
      <c r="O443" s="8" t="s">
        <v>29</v>
      </c>
      <c r="P443" s="11">
        <v>3.8</v>
      </c>
      <c r="Q443" s="11">
        <v>0</v>
      </c>
      <c r="R443" s="11">
        <v>3.8</v>
      </c>
      <c r="S443" s="11">
        <f>P443*4</f>
        <v>15.2</v>
      </c>
      <c r="T443" s="11">
        <f>Q443*4</f>
        <v>0</v>
      </c>
      <c r="U443" s="11">
        <f>R443*4</f>
        <v>15.2</v>
      </c>
      <c r="V443" s="12"/>
      <c r="W443" s="12">
        <f>V443/1000</f>
        <v>0</v>
      </c>
    </row>
    <row r="444" spans="1:23" x14ac:dyDescent="0.25">
      <c r="A444" s="7">
        <v>445</v>
      </c>
      <c r="B444" s="8" t="s">
        <v>526</v>
      </c>
      <c r="C444" s="8" t="s">
        <v>565</v>
      </c>
      <c r="D444" s="7" t="s">
        <v>528</v>
      </c>
      <c r="E444" s="8" t="s">
        <v>51</v>
      </c>
      <c r="F444" s="7">
        <v>600</v>
      </c>
      <c r="G444" s="7">
        <v>1100</v>
      </c>
      <c r="H444" s="7">
        <f>(F444+G444)/2</f>
        <v>850</v>
      </c>
      <c r="I444" s="9">
        <v>15</v>
      </c>
      <c r="J444" s="10" t="s">
        <v>26</v>
      </c>
      <c r="K444" s="8" t="s">
        <v>27</v>
      </c>
      <c r="L444" s="8" t="s">
        <v>28</v>
      </c>
      <c r="M444" s="8" t="s">
        <v>561</v>
      </c>
      <c r="N444" s="8"/>
      <c r="O444" s="8" t="s">
        <v>29</v>
      </c>
      <c r="P444" s="11">
        <v>4.4000000000000004</v>
      </c>
      <c r="Q444" s="11">
        <v>4.5999999999999996</v>
      </c>
      <c r="R444" s="11">
        <v>4.4000000000000004</v>
      </c>
      <c r="S444" s="11">
        <f>P444*4</f>
        <v>17.600000000000001</v>
      </c>
      <c r="T444" s="11">
        <f>Q444*4</f>
        <v>18.399999999999999</v>
      </c>
      <c r="U444" s="11">
        <f>R444*4</f>
        <v>17.600000000000001</v>
      </c>
      <c r="V444" s="12"/>
      <c r="W444" s="12">
        <f>V444/1000</f>
        <v>0</v>
      </c>
    </row>
    <row r="445" spans="1:23" x14ac:dyDescent="0.25">
      <c r="A445" s="7">
        <v>446</v>
      </c>
      <c r="B445" s="8" t="s">
        <v>526</v>
      </c>
      <c r="C445" s="8" t="s">
        <v>566</v>
      </c>
      <c r="D445" s="7" t="s">
        <v>528</v>
      </c>
      <c r="E445" s="8" t="s">
        <v>51</v>
      </c>
      <c r="F445" s="7">
        <v>600</v>
      </c>
      <c r="G445" s="7">
        <v>1100</v>
      </c>
      <c r="H445" s="7">
        <f>(F445+G445)/2</f>
        <v>850</v>
      </c>
      <c r="I445" s="9">
        <v>15</v>
      </c>
      <c r="J445" s="10" t="s">
        <v>65</v>
      </c>
      <c r="K445" s="8" t="s">
        <v>27</v>
      </c>
      <c r="L445" s="8" t="s">
        <v>28</v>
      </c>
      <c r="M445" s="8" t="s">
        <v>561</v>
      </c>
      <c r="N445" s="8"/>
      <c r="O445" s="8" t="s">
        <v>29</v>
      </c>
      <c r="P445" s="11">
        <v>3.6</v>
      </c>
      <c r="Q445" s="11">
        <v>3.3</v>
      </c>
      <c r="R445" s="11">
        <v>3.6</v>
      </c>
      <c r="S445" s="11">
        <f>P445*4</f>
        <v>14.4</v>
      </c>
      <c r="T445" s="11">
        <f>Q445*4</f>
        <v>13.2</v>
      </c>
      <c r="U445" s="11">
        <f>R445*4</f>
        <v>14.4</v>
      </c>
      <c r="V445" s="12"/>
      <c r="W445" s="12">
        <f>V445/1000</f>
        <v>0</v>
      </c>
    </row>
    <row r="446" spans="1:23" x14ac:dyDescent="0.25">
      <c r="A446" s="7">
        <v>447</v>
      </c>
      <c r="B446" s="8" t="s">
        <v>526</v>
      </c>
      <c r="C446" s="8" t="s">
        <v>567</v>
      </c>
      <c r="D446" s="7" t="s">
        <v>528</v>
      </c>
      <c r="E446" s="8" t="s">
        <v>51</v>
      </c>
      <c r="F446" s="7">
        <v>600</v>
      </c>
      <c r="G446" s="7">
        <v>1100</v>
      </c>
      <c r="H446" s="7">
        <f>(F446+G446)/2</f>
        <v>850</v>
      </c>
      <c r="I446" s="9">
        <v>15</v>
      </c>
      <c r="J446" s="10" t="s">
        <v>26</v>
      </c>
      <c r="K446" s="8" t="s">
        <v>27</v>
      </c>
      <c r="L446" s="8" t="s">
        <v>28</v>
      </c>
      <c r="M446" s="8" t="s">
        <v>561</v>
      </c>
      <c r="N446" s="8"/>
      <c r="O446" s="8" t="s">
        <v>71</v>
      </c>
      <c r="P446" s="11">
        <v>4.3</v>
      </c>
      <c r="Q446" s="11">
        <v>4.5</v>
      </c>
      <c r="R446" s="11">
        <v>4.3</v>
      </c>
      <c r="S446" s="11">
        <f>P446*4</f>
        <v>17.2</v>
      </c>
      <c r="T446" s="11">
        <f>Q446*4</f>
        <v>18</v>
      </c>
      <c r="U446" s="11">
        <f>R446*4</f>
        <v>17.2</v>
      </c>
      <c r="V446" s="12"/>
      <c r="W446" s="12">
        <f>V446/1000</f>
        <v>0</v>
      </c>
    </row>
    <row r="447" spans="1:23" x14ac:dyDescent="0.25">
      <c r="A447" s="7">
        <v>448</v>
      </c>
      <c r="B447" s="8" t="s">
        <v>526</v>
      </c>
      <c r="C447" s="8" t="s">
        <v>568</v>
      </c>
      <c r="D447" s="7" t="s">
        <v>528</v>
      </c>
      <c r="E447" s="8" t="s">
        <v>51</v>
      </c>
      <c r="F447" s="7">
        <v>600</v>
      </c>
      <c r="G447" s="7">
        <v>1100</v>
      </c>
      <c r="H447" s="7">
        <f>(F447+G447)/2</f>
        <v>850</v>
      </c>
      <c r="I447" s="9">
        <v>15</v>
      </c>
      <c r="J447" s="10" t="s">
        <v>65</v>
      </c>
      <c r="K447" s="8" t="s">
        <v>108</v>
      </c>
      <c r="L447" s="8" t="s">
        <v>109</v>
      </c>
      <c r="M447" s="8" t="s">
        <v>561</v>
      </c>
      <c r="N447" s="8"/>
      <c r="O447" s="8" t="s">
        <v>29</v>
      </c>
      <c r="P447" s="11">
        <v>3.5</v>
      </c>
      <c r="Q447" s="11">
        <v>0</v>
      </c>
      <c r="R447" s="11">
        <v>3.5</v>
      </c>
      <c r="S447" s="11">
        <f>P447*4</f>
        <v>14</v>
      </c>
      <c r="T447" s="11">
        <f>Q447*4</f>
        <v>0</v>
      </c>
      <c r="U447" s="11">
        <f>R447*4</f>
        <v>14</v>
      </c>
      <c r="V447" s="12"/>
      <c r="W447" s="12">
        <f>V447/1000</f>
        <v>0</v>
      </c>
    </row>
    <row r="448" spans="1:23" x14ac:dyDescent="0.25">
      <c r="A448" s="7">
        <v>449</v>
      </c>
      <c r="B448" s="8" t="s">
        <v>526</v>
      </c>
      <c r="C448" s="8" t="s">
        <v>569</v>
      </c>
      <c r="D448" s="7" t="s">
        <v>528</v>
      </c>
      <c r="E448" s="8" t="s">
        <v>51</v>
      </c>
      <c r="F448" s="7">
        <v>600</v>
      </c>
      <c r="G448" s="7">
        <v>1100</v>
      </c>
      <c r="H448" s="7">
        <f>(F448+G448)/2</f>
        <v>850</v>
      </c>
      <c r="I448" s="9">
        <v>15</v>
      </c>
      <c r="J448" s="10" t="s">
        <v>26</v>
      </c>
      <c r="K448" s="8" t="s">
        <v>137</v>
      </c>
      <c r="L448" s="8" t="s">
        <v>138</v>
      </c>
      <c r="M448" s="8" t="s">
        <v>561</v>
      </c>
      <c r="N448" s="8"/>
      <c r="O448" s="8" t="s">
        <v>29</v>
      </c>
      <c r="P448" s="11">
        <v>4</v>
      </c>
      <c r="Q448" s="11">
        <v>0</v>
      </c>
      <c r="R448" s="11">
        <v>4</v>
      </c>
      <c r="S448" s="11">
        <f>P448*4</f>
        <v>16</v>
      </c>
      <c r="T448" s="11">
        <f>Q448*4</f>
        <v>0</v>
      </c>
      <c r="U448" s="11">
        <f>R448*4</f>
        <v>16</v>
      </c>
      <c r="V448" s="12"/>
      <c r="W448" s="12">
        <f>V448/1000</f>
        <v>0</v>
      </c>
    </row>
    <row r="449" spans="1:23" x14ac:dyDescent="0.25">
      <c r="A449" s="7">
        <v>450</v>
      </c>
      <c r="B449" s="8" t="s">
        <v>526</v>
      </c>
      <c r="C449" s="8" t="s">
        <v>570</v>
      </c>
      <c r="D449" s="7" t="s">
        <v>528</v>
      </c>
      <c r="E449" s="8" t="s">
        <v>51</v>
      </c>
      <c r="F449" s="7">
        <v>600</v>
      </c>
      <c r="G449" s="7">
        <v>1100</v>
      </c>
      <c r="H449" s="7">
        <f>(F449+G449)/2</f>
        <v>850</v>
      </c>
      <c r="I449" s="9">
        <v>15</v>
      </c>
      <c r="J449" s="10" t="s">
        <v>26</v>
      </c>
      <c r="K449" s="8" t="s">
        <v>108</v>
      </c>
      <c r="L449" s="8" t="s">
        <v>109</v>
      </c>
      <c r="M449" s="8" t="s">
        <v>561</v>
      </c>
      <c r="N449" s="8"/>
      <c r="O449" s="8" t="s">
        <v>29</v>
      </c>
      <c r="P449" s="11">
        <v>4.7</v>
      </c>
      <c r="Q449" s="11">
        <v>0</v>
      </c>
      <c r="R449" s="11">
        <v>4.7</v>
      </c>
      <c r="S449" s="11">
        <f>P449*4</f>
        <v>18.8</v>
      </c>
      <c r="T449" s="11">
        <f>Q449*4</f>
        <v>0</v>
      </c>
      <c r="U449" s="11">
        <f>R449*4</f>
        <v>18.8</v>
      </c>
      <c r="V449" s="12"/>
      <c r="W449" s="12">
        <f>V449/1000</f>
        <v>0</v>
      </c>
    </row>
    <row r="450" spans="1:23" x14ac:dyDescent="0.25">
      <c r="A450" s="7">
        <v>451</v>
      </c>
      <c r="B450" s="8" t="s">
        <v>526</v>
      </c>
      <c r="C450" s="8" t="s">
        <v>571</v>
      </c>
      <c r="D450" s="7" t="s">
        <v>528</v>
      </c>
      <c r="E450" s="8" t="s">
        <v>51</v>
      </c>
      <c r="F450" s="7">
        <v>600</v>
      </c>
      <c r="G450" s="7">
        <v>1100</v>
      </c>
      <c r="H450" s="7">
        <f>(F450+G450)/2</f>
        <v>850</v>
      </c>
      <c r="I450" s="9">
        <v>15</v>
      </c>
      <c r="J450" s="10" t="s">
        <v>26</v>
      </c>
      <c r="K450" s="8" t="s">
        <v>27</v>
      </c>
      <c r="L450" s="8" t="s">
        <v>28</v>
      </c>
      <c r="M450" s="8" t="s">
        <v>561</v>
      </c>
      <c r="N450" s="8"/>
      <c r="O450" s="8" t="s">
        <v>29</v>
      </c>
      <c r="P450" s="11">
        <v>4.2</v>
      </c>
      <c r="Q450" s="11">
        <v>4.3</v>
      </c>
      <c r="R450" s="11">
        <v>4.2</v>
      </c>
      <c r="S450" s="11">
        <f>P450*4</f>
        <v>16.8</v>
      </c>
      <c r="T450" s="11">
        <f>Q450*4</f>
        <v>17.2</v>
      </c>
      <c r="U450" s="11">
        <f>R450*4</f>
        <v>16.8</v>
      </c>
      <c r="V450" s="12"/>
      <c r="W450" s="12">
        <f>V450/1000</f>
        <v>0</v>
      </c>
    </row>
    <row r="451" spans="1:23" x14ac:dyDescent="0.25">
      <c r="A451" s="7">
        <v>452</v>
      </c>
      <c r="B451" s="8" t="s">
        <v>526</v>
      </c>
      <c r="C451" s="8" t="s">
        <v>572</v>
      </c>
      <c r="D451" s="7" t="s">
        <v>528</v>
      </c>
      <c r="E451" s="8" t="s">
        <v>51</v>
      </c>
      <c r="F451" s="7">
        <v>600</v>
      </c>
      <c r="G451" s="7">
        <v>1100</v>
      </c>
      <c r="H451" s="7">
        <f>(F451+G451)/2</f>
        <v>850</v>
      </c>
      <c r="I451" s="9">
        <v>15</v>
      </c>
      <c r="J451" s="10" t="s">
        <v>26</v>
      </c>
      <c r="K451" s="8" t="s">
        <v>27</v>
      </c>
      <c r="L451" s="8" t="s">
        <v>28</v>
      </c>
      <c r="M451" s="8"/>
      <c r="N451" s="8"/>
      <c r="O451" s="8" t="s">
        <v>44</v>
      </c>
      <c r="P451" s="11">
        <v>4.4000000000000004</v>
      </c>
      <c r="Q451" s="11">
        <v>2.5</v>
      </c>
      <c r="R451" s="11">
        <v>4.4000000000000004</v>
      </c>
      <c r="S451" s="11">
        <f>P451*4</f>
        <v>17.600000000000001</v>
      </c>
      <c r="T451" s="11">
        <f>Q451*4</f>
        <v>10</v>
      </c>
      <c r="U451" s="11">
        <f>R451*4</f>
        <v>17.600000000000001</v>
      </c>
      <c r="V451" s="12"/>
      <c r="W451" s="12">
        <f>V451/1000</f>
        <v>0</v>
      </c>
    </row>
    <row r="452" spans="1:23" x14ac:dyDescent="0.25">
      <c r="A452" s="7">
        <v>453</v>
      </c>
      <c r="B452" s="8" t="s">
        <v>526</v>
      </c>
      <c r="C452" s="8" t="s">
        <v>573</v>
      </c>
      <c r="D452" s="7" t="s">
        <v>528</v>
      </c>
      <c r="E452" s="8" t="s">
        <v>51</v>
      </c>
      <c r="F452" s="7">
        <v>600</v>
      </c>
      <c r="G452" s="7">
        <v>1100</v>
      </c>
      <c r="H452" s="7">
        <f>(F452+G452)/2</f>
        <v>850</v>
      </c>
      <c r="I452" s="9">
        <v>15</v>
      </c>
      <c r="J452" s="10" t="s">
        <v>65</v>
      </c>
      <c r="K452" s="8" t="s">
        <v>27</v>
      </c>
      <c r="L452" s="8" t="s">
        <v>28</v>
      </c>
      <c r="M452" s="8"/>
      <c r="N452" s="8"/>
      <c r="O452" s="8" t="s">
        <v>44</v>
      </c>
      <c r="P452" s="11">
        <v>3.4</v>
      </c>
      <c r="Q452" s="11">
        <v>1.8</v>
      </c>
      <c r="R452" s="11">
        <v>3.4</v>
      </c>
      <c r="S452" s="11">
        <f>P452*4</f>
        <v>13.6</v>
      </c>
      <c r="T452" s="11">
        <f>Q452*4</f>
        <v>7.2</v>
      </c>
      <c r="U452" s="11">
        <f>R452*4</f>
        <v>13.6</v>
      </c>
      <c r="V452" s="12"/>
      <c r="W452" s="12">
        <f>V452/1000</f>
        <v>0</v>
      </c>
    </row>
    <row r="453" spans="1:23" x14ac:dyDescent="0.25">
      <c r="A453" s="7">
        <v>454</v>
      </c>
      <c r="B453" s="8" t="s">
        <v>526</v>
      </c>
      <c r="C453" s="8" t="s">
        <v>574</v>
      </c>
      <c r="D453" s="7" t="s">
        <v>528</v>
      </c>
      <c r="E453" s="8" t="s">
        <v>51</v>
      </c>
      <c r="F453" s="7">
        <v>600</v>
      </c>
      <c r="G453" s="7">
        <v>1100</v>
      </c>
      <c r="H453" s="7">
        <f>(F453+G453)/2</f>
        <v>850</v>
      </c>
      <c r="I453" s="9">
        <v>15</v>
      </c>
      <c r="J453" s="10" t="s">
        <v>65</v>
      </c>
      <c r="K453" s="8" t="s">
        <v>162</v>
      </c>
      <c r="L453" s="8" t="s">
        <v>138</v>
      </c>
      <c r="M453" s="8"/>
      <c r="N453" s="8"/>
      <c r="O453" s="8" t="s">
        <v>44</v>
      </c>
      <c r="P453" s="11">
        <v>3.2</v>
      </c>
      <c r="Q453" s="11">
        <v>1.7</v>
      </c>
      <c r="R453" s="11">
        <v>3.2</v>
      </c>
      <c r="S453" s="11">
        <f>P453*4</f>
        <v>12.8</v>
      </c>
      <c r="T453" s="11">
        <f>Q453*4</f>
        <v>6.8</v>
      </c>
      <c r="U453" s="11">
        <f>R453*4</f>
        <v>12.8</v>
      </c>
      <c r="V453" s="12"/>
      <c r="W453" s="12">
        <f>V453/1000</f>
        <v>0</v>
      </c>
    </row>
    <row r="454" spans="1:23" x14ac:dyDescent="0.25">
      <c r="A454" s="7">
        <v>455</v>
      </c>
      <c r="B454" s="8" t="s">
        <v>526</v>
      </c>
      <c r="C454" s="8" t="s">
        <v>575</v>
      </c>
      <c r="D454" s="7" t="s">
        <v>528</v>
      </c>
      <c r="E454" s="8" t="s">
        <v>51</v>
      </c>
      <c r="F454" s="7">
        <v>600</v>
      </c>
      <c r="G454" s="7">
        <v>1100</v>
      </c>
      <c r="H454" s="7">
        <f>(F454+G454)/2</f>
        <v>850</v>
      </c>
      <c r="I454" s="9">
        <v>15</v>
      </c>
      <c r="J454" s="10" t="s">
        <v>26</v>
      </c>
      <c r="K454" s="8" t="s">
        <v>108</v>
      </c>
      <c r="L454" s="8" t="s">
        <v>109</v>
      </c>
      <c r="M454" s="8"/>
      <c r="N454" s="8"/>
      <c r="O454" s="8" t="s">
        <v>44</v>
      </c>
      <c r="P454" s="11">
        <v>4.2</v>
      </c>
      <c r="Q454" s="11">
        <v>2.2999999999999998</v>
      </c>
      <c r="R454" s="11">
        <v>4.2</v>
      </c>
      <c r="S454" s="11">
        <f>P454*4</f>
        <v>16.8</v>
      </c>
      <c r="T454" s="11">
        <f>Q454*4</f>
        <v>9.1999999999999993</v>
      </c>
      <c r="U454" s="11">
        <f>R454*4</f>
        <v>16.8</v>
      </c>
      <c r="V454" s="12"/>
      <c r="W454" s="12">
        <f>V454/1000</f>
        <v>0</v>
      </c>
    </row>
    <row r="455" spans="1:23" x14ac:dyDescent="0.25">
      <c r="A455" s="7">
        <v>456</v>
      </c>
      <c r="B455" s="8" t="s">
        <v>526</v>
      </c>
      <c r="C455" s="8" t="s">
        <v>576</v>
      </c>
      <c r="D455" s="7" t="s">
        <v>528</v>
      </c>
      <c r="E455" s="8" t="s">
        <v>51</v>
      </c>
      <c r="F455" s="7">
        <v>600</v>
      </c>
      <c r="G455" s="7">
        <v>1100</v>
      </c>
      <c r="H455" s="7">
        <f>(F455+G455)/2</f>
        <v>850</v>
      </c>
      <c r="I455" s="9">
        <v>15</v>
      </c>
      <c r="J455" s="10" t="s">
        <v>26</v>
      </c>
      <c r="K455" s="8" t="s">
        <v>108</v>
      </c>
      <c r="L455" s="8" t="s">
        <v>109</v>
      </c>
      <c r="M455" s="8"/>
      <c r="N455" s="8"/>
      <c r="O455" s="8" t="s">
        <v>44</v>
      </c>
      <c r="P455" s="11">
        <v>5.0999999999999996</v>
      </c>
      <c r="Q455" s="11">
        <v>2.1</v>
      </c>
      <c r="R455" s="11">
        <v>5.0999999999999996</v>
      </c>
      <c r="S455" s="11">
        <f>P455*4</f>
        <v>20.399999999999999</v>
      </c>
      <c r="T455" s="11">
        <f>Q455*4</f>
        <v>8.4</v>
      </c>
      <c r="U455" s="11">
        <f>R455*4</f>
        <v>20.399999999999999</v>
      </c>
      <c r="V455" s="12"/>
      <c r="W455" s="12">
        <f>V455/1000</f>
        <v>0</v>
      </c>
    </row>
    <row r="456" spans="1:23" x14ac:dyDescent="0.25">
      <c r="A456" s="7">
        <v>457</v>
      </c>
      <c r="B456" s="8" t="s">
        <v>526</v>
      </c>
      <c r="C456" s="8" t="s">
        <v>577</v>
      </c>
      <c r="D456" s="7" t="s">
        <v>528</v>
      </c>
      <c r="E456" s="8" t="s">
        <v>51</v>
      </c>
      <c r="F456" s="7">
        <v>600</v>
      </c>
      <c r="G456" s="7">
        <v>1100</v>
      </c>
      <c r="H456" s="7">
        <f>(F456+G456)/2</f>
        <v>850</v>
      </c>
      <c r="I456" s="9">
        <v>15</v>
      </c>
      <c r="J456" s="10" t="s">
        <v>26</v>
      </c>
      <c r="K456" s="8" t="s">
        <v>27</v>
      </c>
      <c r="L456" s="8" t="s">
        <v>28</v>
      </c>
      <c r="M456" s="8"/>
      <c r="N456" s="8"/>
      <c r="O456" s="8" t="s">
        <v>44</v>
      </c>
      <c r="P456" s="11">
        <v>4.0999999999999996</v>
      </c>
      <c r="Q456" s="11">
        <v>2</v>
      </c>
      <c r="R456" s="11">
        <v>4.0999999999999996</v>
      </c>
      <c r="S456" s="11">
        <f>P456*4</f>
        <v>16.399999999999999</v>
      </c>
      <c r="T456" s="11">
        <f>Q456*4</f>
        <v>8</v>
      </c>
      <c r="U456" s="11">
        <f>R456*4</f>
        <v>16.399999999999999</v>
      </c>
      <c r="V456" s="12"/>
      <c r="W456" s="12">
        <f>V456/1000</f>
        <v>0</v>
      </c>
    </row>
    <row r="457" spans="1:23" x14ac:dyDescent="0.25">
      <c r="A457" s="7">
        <v>458</v>
      </c>
      <c r="B457" s="8" t="s">
        <v>526</v>
      </c>
      <c r="C457" s="8" t="s">
        <v>578</v>
      </c>
      <c r="D457" s="7" t="s">
        <v>528</v>
      </c>
      <c r="E457" s="8" t="s">
        <v>51</v>
      </c>
      <c r="F457" s="7">
        <v>600</v>
      </c>
      <c r="G457" s="7">
        <v>1100</v>
      </c>
      <c r="H457" s="7">
        <f>(F457+G457)/2</f>
        <v>850</v>
      </c>
      <c r="I457" s="9">
        <v>15</v>
      </c>
      <c r="J457" s="10" t="s">
        <v>26</v>
      </c>
      <c r="K457" s="8" t="s">
        <v>27</v>
      </c>
      <c r="L457" s="8" t="s">
        <v>28</v>
      </c>
      <c r="M457" s="8"/>
      <c r="N457" s="8"/>
      <c r="O457" s="8" t="s">
        <v>44</v>
      </c>
      <c r="P457" s="11">
        <v>4.7</v>
      </c>
      <c r="Q457" s="11">
        <v>1.8</v>
      </c>
      <c r="R457" s="11">
        <v>4.7</v>
      </c>
      <c r="S457" s="11">
        <f>P457*4</f>
        <v>18.8</v>
      </c>
      <c r="T457" s="11">
        <f>Q457*4</f>
        <v>7.2</v>
      </c>
      <c r="U457" s="11">
        <f>R457*4</f>
        <v>18.8</v>
      </c>
      <c r="V457" s="12"/>
      <c r="W457" s="12">
        <f>V457/1000</f>
        <v>0</v>
      </c>
    </row>
    <row r="458" spans="1:23" x14ac:dyDescent="0.25">
      <c r="A458" s="7">
        <v>459</v>
      </c>
      <c r="B458" s="8" t="s">
        <v>526</v>
      </c>
      <c r="C458" s="8" t="s">
        <v>579</v>
      </c>
      <c r="D458" s="7" t="s">
        <v>528</v>
      </c>
      <c r="E458" s="8" t="s">
        <v>51</v>
      </c>
      <c r="F458" s="7">
        <v>600</v>
      </c>
      <c r="G458" s="7">
        <v>1100</v>
      </c>
      <c r="H458" s="7">
        <f>(F458+G458)/2</f>
        <v>850</v>
      </c>
      <c r="I458" s="9">
        <v>15</v>
      </c>
      <c r="J458" s="10" t="s">
        <v>26</v>
      </c>
      <c r="K458" s="8" t="s">
        <v>27</v>
      </c>
      <c r="L458" s="8" t="s">
        <v>28</v>
      </c>
      <c r="M458" s="8"/>
      <c r="N458" s="8"/>
      <c r="O458" s="8" t="s">
        <v>44</v>
      </c>
      <c r="P458" s="11">
        <v>4</v>
      </c>
      <c r="Q458" s="11">
        <v>1.4</v>
      </c>
      <c r="R458" s="11">
        <v>4</v>
      </c>
      <c r="S458" s="11">
        <f>P458*4</f>
        <v>16</v>
      </c>
      <c r="T458" s="11">
        <f>Q458*4</f>
        <v>5.6</v>
      </c>
      <c r="U458" s="11">
        <f>R458*4</f>
        <v>16</v>
      </c>
      <c r="V458" s="12"/>
      <c r="W458" s="12">
        <f>V458/1000</f>
        <v>0</v>
      </c>
    </row>
    <row r="459" spans="1:23" x14ac:dyDescent="0.25">
      <c r="A459" s="7">
        <v>460</v>
      </c>
      <c r="B459" s="8" t="s">
        <v>526</v>
      </c>
      <c r="C459" s="8" t="s">
        <v>580</v>
      </c>
      <c r="D459" s="7" t="s">
        <v>528</v>
      </c>
      <c r="E459" s="8" t="s">
        <v>51</v>
      </c>
      <c r="F459" s="7">
        <v>600</v>
      </c>
      <c r="G459" s="7">
        <v>1100</v>
      </c>
      <c r="H459" s="7">
        <f>(F459+G459)/2</f>
        <v>850</v>
      </c>
      <c r="I459" s="9">
        <v>15</v>
      </c>
      <c r="J459" s="10" t="s">
        <v>26</v>
      </c>
      <c r="K459" s="8" t="s">
        <v>27</v>
      </c>
      <c r="L459" s="8" t="s">
        <v>28</v>
      </c>
      <c r="M459" s="8"/>
      <c r="N459" s="8"/>
      <c r="O459" s="8" t="s">
        <v>44</v>
      </c>
      <c r="P459" s="11">
        <v>4.9000000000000004</v>
      </c>
      <c r="Q459" s="11">
        <v>2</v>
      </c>
      <c r="R459" s="11">
        <v>4.9000000000000004</v>
      </c>
      <c r="S459" s="11">
        <f>P459*4</f>
        <v>19.600000000000001</v>
      </c>
      <c r="T459" s="11">
        <f>Q459*4</f>
        <v>8</v>
      </c>
      <c r="U459" s="11">
        <f>R459*4</f>
        <v>19.600000000000001</v>
      </c>
      <c r="V459" s="12"/>
      <c r="W459" s="12">
        <f>V459/1000</f>
        <v>0</v>
      </c>
    </row>
    <row r="460" spans="1:23" x14ac:dyDescent="0.25">
      <c r="A460" s="7">
        <v>461</v>
      </c>
      <c r="B460" s="8" t="s">
        <v>526</v>
      </c>
      <c r="C460" s="8" t="s">
        <v>581</v>
      </c>
      <c r="D460" s="7" t="s">
        <v>528</v>
      </c>
      <c r="E460" s="8" t="s">
        <v>51</v>
      </c>
      <c r="F460" s="7">
        <v>600</v>
      </c>
      <c r="G460" s="7">
        <v>1100</v>
      </c>
      <c r="H460" s="7">
        <f>(F460+G460)/2</f>
        <v>850</v>
      </c>
      <c r="I460" s="9">
        <v>15</v>
      </c>
      <c r="J460" s="10" t="s">
        <v>26</v>
      </c>
      <c r="K460" s="8" t="s">
        <v>68</v>
      </c>
      <c r="L460" s="8" t="s">
        <v>28</v>
      </c>
      <c r="M460" s="8"/>
      <c r="N460" s="8"/>
      <c r="O460" s="8" t="s">
        <v>44</v>
      </c>
      <c r="P460" s="11">
        <v>4.4000000000000004</v>
      </c>
      <c r="Q460" s="11">
        <v>2</v>
      </c>
      <c r="R460" s="11">
        <v>4.4000000000000004</v>
      </c>
      <c r="S460" s="11">
        <f>P460*4</f>
        <v>17.600000000000001</v>
      </c>
      <c r="T460" s="11">
        <f>Q460*4</f>
        <v>8</v>
      </c>
      <c r="U460" s="11">
        <f>R460*4</f>
        <v>17.600000000000001</v>
      </c>
      <c r="V460" s="12"/>
      <c r="W460" s="12">
        <f>V460/1000</f>
        <v>0</v>
      </c>
    </row>
    <row r="461" spans="1:23" x14ac:dyDescent="0.25">
      <c r="A461" s="7">
        <v>462</v>
      </c>
      <c r="B461" s="8" t="s">
        <v>526</v>
      </c>
      <c r="C461" s="8" t="s">
        <v>582</v>
      </c>
      <c r="D461" s="7" t="s">
        <v>528</v>
      </c>
      <c r="E461" s="8" t="s">
        <v>51</v>
      </c>
      <c r="F461" s="7">
        <v>600</v>
      </c>
      <c r="G461" s="7">
        <v>1100</v>
      </c>
      <c r="H461" s="7">
        <f>(F461+G461)/2</f>
        <v>850</v>
      </c>
      <c r="I461" s="9">
        <v>15</v>
      </c>
      <c r="J461" s="10" t="s">
        <v>65</v>
      </c>
      <c r="K461" s="8" t="s">
        <v>157</v>
      </c>
      <c r="L461" s="8" t="s">
        <v>38</v>
      </c>
      <c r="M461" s="8"/>
      <c r="N461" s="8"/>
      <c r="O461" s="8" t="s">
        <v>44</v>
      </c>
      <c r="P461" s="11">
        <v>3.4</v>
      </c>
      <c r="Q461" s="11">
        <v>1.1000000000000001</v>
      </c>
      <c r="R461" s="11">
        <v>3.4</v>
      </c>
      <c r="S461" s="11">
        <f>P461*4</f>
        <v>13.6</v>
      </c>
      <c r="T461" s="11">
        <f>Q461*4</f>
        <v>4.4000000000000004</v>
      </c>
      <c r="U461" s="11">
        <f>R461*4</f>
        <v>13.6</v>
      </c>
      <c r="V461" s="12"/>
      <c r="W461" s="12">
        <f>V461/1000</f>
        <v>0</v>
      </c>
    </row>
    <row r="462" spans="1:23" x14ac:dyDescent="0.25">
      <c r="A462" s="7">
        <v>463</v>
      </c>
      <c r="B462" s="8" t="s">
        <v>526</v>
      </c>
      <c r="C462" s="8" t="s">
        <v>583</v>
      </c>
      <c r="D462" s="7" t="s">
        <v>528</v>
      </c>
      <c r="E462" s="8" t="s">
        <v>51</v>
      </c>
      <c r="F462" s="7">
        <v>600</v>
      </c>
      <c r="G462" s="7">
        <v>1100</v>
      </c>
      <c r="H462" s="7">
        <f>(F462+G462)/2</f>
        <v>850</v>
      </c>
      <c r="I462" s="9">
        <v>15</v>
      </c>
      <c r="J462" s="10" t="s">
        <v>65</v>
      </c>
      <c r="K462" s="8" t="s">
        <v>108</v>
      </c>
      <c r="L462" s="8" t="s">
        <v>109</v>
      </c>
      <c r="M462" s="8"/>
      <c r="N462" s="8"/>
      <c r="O462" s="8" t="s">
        <v>44</v>
      </c>
      <c r="P462" s="11">
        <v>3.2</v>
      </c>
      <c r="Q462" s="11">
        <v>1.9</v>
      </c>
      <c r="R462" s="11">
        <v>3.2</v>
      </c>
      <c r="S462" s="11">
        <f>P462*4</f>
        <v>12.8</v>
      </c>
      <c r="T462" s="11">
        <f>Q462*4</f>
        <v>7.6</v>
      </c>
      <c r="U462" s="11">
        <f>R462*4</f>
        <v>12.8</v>
      </c>
      <c r="V462" s="12"/>
      <c r="W462" s="12">
        <f>V462/1000</f>
        <v>0</v>
      </c>
    </row>
    <row r="463" spans="1:23" x14ac:dyDescent="0.25">
      <c r="A463" s="7">
        <v>464</v>
      </c>
      <c r="B463" s="8" t="s">
        <v>526</v>
      </c>
      <c r="C463" s="8" t="s">
        <v>584</v>
      </c>
      <c r="D463" s="7" t="s">
        <v>528</v>
      </c>
      <c r="E463" s="8" t="s">
        <v>51</v>
      </c>
      <c r="F463" s="7">
        <v>600</v>
      </c>
      <c r="G463" s="7">
        <v>1100</v>
      </c>
      <c r="H463" s="7">
        <f>(F463+G463)/2</f>
        <v>850</v>
      </c>
      <c r="I463" s="9">
        <v>15</v>
      </c>
      <c r="J463" s="10" t="s">
        <v>65</v>
      </c>
      <c r="K463" s="8" t="s">
        <v>108</v>
      </c>
      <c r="L463" s="8" t="s">
        <v>109</v>
      </c>
      <c r="M463" s="8"/>
      <c r="N463" s="8"/>
      <c r="O463" s="8" t="s">
        <v>44</v>
      </c>
      <c r="P463" s="11">
        <v>3</v>
      </c>
      <c r="Q463" s="11">
        <v>1.4</v>
      </c>
      <c r="R463" s="11">
        <v>3</v>
      </c>
      <c r="S463" s="11">
        <f>P463*4</f>
        <v>12</v>
      </c>
      <c r="T463" s="11">
        <f>Q463*4</f>
        <v>5.6</v>
      </c>
      <c r="U463" s="11">
        <f>R463*4</f>
        <v>12</v>
      </c>
      <c r="V463" s="12"/>
      <c r="W463" s="12">
        <f>V463/1000</f>
        <v>0</v>
      </c>
    </row>
    <row r="464" spans="1:23" x14ac:dyDescent="0.25">
      <c r="A464" s="7">
        <v>465</v>
      </c>
      <c r="B464" s="8" t="s">
        <v>526</v>
      </c>
      <c r="C464" s="8" t="s">
        <v>585</v>
      </c>
      <c r="D464" s="7" t="s">
        <v>528</v>
      </c>
      <c r="E464" s="8" t="s">
        <v>51</v>
      </c>
      <c r="F464" s="7">
        <v>600</v>
      </c>
      <c r="G464" s="7">
        <v>1100</v>
      </c>
      <c r="H464" s="7">
        <f>(F464+G464)/2</f>
        <v>850</v>
      </c>
      <c r="I464" s="9">
        <v>15</v>
      </c>
      <c r="J464" s="10" t="s">
        <v>65</v>
      </c>
      <c r="K464" s="8" t="s">
        <v>27</v>
      </c>
      <c r="L464" s="8" t="s">
        <v>28</v>
      </c>
      <c r="M464" s="8"/>
      <c r="N464" s="8"/>
      <c r="O464" s="8" t="s">
        <v>44</v>
      </c>
      <c r="P464" s="11">
        <v>3.6</v>
      </c>
      <c r="Q464" s="11">
        <v>1.5</v>
      </c>
      <c r="R464" s="11">
        <v>3.6</v>
      </c>
      <c r="S464" s="11">
        <f>P464*4</f>
        <v>14.4</v>
      </c>
      <c r="T464" s="11">
        <f>Q464*4</f>
        <v>6</v>
      </c>
      <c r="U464" s="11">
        <f>R464*4</f>
        <v>14.4</v>
      </c>
      <c r="V464" s="12"/>
      <c r="W464" s="12">
        <f>V464/1000</f>
        <v>0</v>
      </c>
    </row>
    <row r="465" spans="1:23" x14ac:dyDescent="0.25">
      <c r="A465" s="7">
        <v>466</v>
      </c>
      <c r="B465" s="8" t="s">
        <v>526</v>
      </c>
      <c r="C465" s="8" t="s">
        <v>586</v>
      </c>
      <c r="D465" s="7" t="s">
        <v>528</v>
      </c>
      <c r="E465" s="8" t="s">
        <v>51</v>
      </c>
      <c r="F465" s="7">
        <v>600</v>
      </c>
      <c r="G465" s="7">
        <v>1100</v>
      </c>
      <c r="H465" s="7">
        <f>(F465+G465)/2</f>
        <v>850</v>
      </c>
      <c r="I465" s="9">
        <v>15</v>
      </c>
      <c r="J465" s="10" t="s">
        <v>65</v>
      </c>
      <c r="K465" s="8" t="s">
        <v>27</v>
      </c>
      <c r="L465" s="8" t="s">
        <v>28</v>
      </c>
      <c r="M465" s="8"/>
      <c r="N465" s="8"/>
      <c r="O465" s="8" t="s">
        <v>44</v>
      </c>
      <c r="P465" s="11">
        <v>3.5</v>
      </c>
      <c r="Q465" s="11">
        <v>1.4</v>
      </c>
      <c r="R465" s="11">
        <v>3.5</v>
      </c>
      <c r="S465" s="11">
        <f>P465*4</f>
        <v>14</v>
      </c>
      <c r="T465" s="11">
        <f>Q465*4</f>
        <v>5.6</v>
      </c>
      <c r="U465" s="11">
        <f>R465*4</f>
        <v>14</v>
      </c>
      <c r="V465" s="12"/>
      <c r="W465" s="12">
        <f>V465/1000</f>
        <v>0</v>
      </c>
    </row>
    <row r="466" spans="1:23" x14ac:dyDescent="0.25">
      <c r="A466" s="7">
        <v>467</v>
      </c>
      <c r="B466" s="8" t="s">
        <v>526</v>
      </c>
      <c r="C466" s="8" t="s">
        <v>587</v>
      </c>
      <c r="D466" s="7" t="s">
        <v>528</v>
      </c>
      <c r="E466" s="8" t="s">
        <v>51</v>
      </c>
      <c r="F466" s="7">
        <v>600</v>
      </c>
      <c r="G466" s="7">
        <v>1100</v>
      </c>
      <c r="H466" s="7">
        <f>(F466+G466)/2</f>
        <v>850</v>
      </c>
      <c r="I466" s="9">
        <v>15</v>
      </c>
      <c r="J466" s="10" t="s">
        <v>26</v>
      </c>
      <c r="K466" s="8" t="s">
        <v>108</v>
      </c>
      <c r="L466" s="8" t="s">
        <v>109</v>
      </c>
      <c r="M466" s="8"/>
      <c r="N466" s="8"/>
      <c r="O466" s="8" t="s">
        <v>44</v>
      </c>
      <c r="P466" s="11">
        <v>4.3</v>
      </c>
      <c r="Q466" s="11">
        <v>1.6</v>
      </c>
      <c r="R466" s="11">
        <v>4.3</v>
      </c>
      <c r="S466" s="11">
        <f>P466*4</f>
        <v>17.2</v>
      </c>
      <c r="T466" s="11">
        <f>Q466*4</f>
        <v>6.4</v>
      </c>
      <c r="U466" s="11">
        <f>R466*4</f>
        <v>17.2</v>
      </c>
      <c r="V466" s="12"/>
      <c r="W466" s="12">
        <f>V466/1000</f>
        <v>0</v>
      </c>
    </row>
    <row r="467" spans="1:23" x14ac:dyDescent="0.25">
      <c r="A467" s="7">
        <v>468</v>
      </c>
      <c r="B467" s="8" t="s">
        <v>526</v>
      </c>
      <c r="C467" s="8" t="s">
        <v>588</v>
      </c>
      <c r="D467" s="7" t="s">
        <v>528</v>
      </c>
      <c r="E467" s="8" t="s">
        <v>51</v>
      </c>
      <c r="F467" s="7">
        <v>600</v>
      </c>
      <c r="G467" s="7">
        <v>1100</v>
      </c>
      <c r="H467" s="7">
        <f>(F467+G467)/2</f>
        <v>850</v>
      </c>
      <c r="I467" s="9">
        <v>15</v>
      </c>
      <c r="J467" s="10" t="s">
        <v>26</v>
      </c>
      <c r="K467" s="8" t="s">
        <v>27</v>
      </c>
      <c r="L467" s="8" t="s">
        <v>28</v>
      </c>
      <c r="M467" s="8"/>
      <c r="N467" s="8"/>
      <c r="O467" s="8" t="s">
        <v>44</v>
      </c>
      <c r="P467" s="11">
        <v>4.8</v>
      </c>
      <c r="Q467" s="11">
        <v>2.1</v>
      </c>
      <c r="R467" s="11">
        <v>4.8</v>
      </c>
      <c r="S467" s="11">
        <f>P467*4</f>
        <v>19.2</v>
      </c>
      <c r="T467" s="11">
        <f>Q467*4</f>
        <v>8.4</v>
      </c>
      <c r="U467" s="11">
        <f>R467*4</f>
        <v>19.2</v>
      </c>
      <c r="V467" s="12"/>
      <c r="W467" s="12">
        <f>V467/1000</f>
        <v>0</v>
      </c>
    </row>
    <row r="468" spans="1:23" x14ac:dyDescent="0.25">
      <c r="A468" s="7">
        <v>469</v>
      </c>
      <c r="B468" s="8" t="s">
        <v>526</v>
      </c>
      <c r="C468" s="8" t="s">
        <v>589</v>
      </c>
      <c r="D468" s="7" t="s">
        <v>528</v>
      </c>
      <c r="E468" s="8" t="s">
        <v>51</v>
      </c>
      <c r="F468" s="7">
        <v>600</v>
      </c>
      <c r="G468" s="7">
        <v>1100</v>
      </c>
      <c r="H468" s="7">
        <f>(F468+G468)/2</f>
        <v>850</v>
      </c>
      <c r="I468" s="9">
        <v>15</v>
      </c>
      <c r="J468" s="10" t="s">
        <v>26</v>
      </c>
      <c r="K468" s="8" t="s">
        <v>77</v>
      </c>
      <c r="L468" s="8" t="s">
        <v>77</v>
      </c>
      <c r="M468" s="8"/>
      <c r="N468" s="8"/>
      <c r="O468" s="8" t="s">
        <v>44</v>
      </c>
      <c r="P468" s="11">
        <v>4.9000000000000004</v>
      </c>
      <c r="Q468" s="11">
        <v>1.7</v>
      </c>
      <c r="R468" s="11">
        <v>4.9000000000000004</v>
      </c>
      <c r="S468" s="11">
        <f>P468*4</f>
        <v>19.600000000000001</v>
      </c>
      <c r="T468" s="11">
        <f>Q468*4</f>
        <v>6.8</v>
      </c>
      <c r="U468" s="11">
        <f>R468*4</f>
        <v>19.600000000000001</v>
      </c>
      <c r="V468" s="12"/>
      <c r="W468" s="12">
        <f>V468/1000</f>
        <v>0</v>
      </c>
    </row>
    <row r="469" spans="1:23" x14ac:dyDescent="0.25">
      <c r="A469" s="7">
        <v>470</v>
      </c>
      <c r="B469" s="8" t="s">
        <v>526</v>
      </c>
      <c r="C469" s="8" t="s">
        <v>590</v>
      </c>
      <c r="D469" s="7" t="s">
        <v>528</v>
      </c>
      <c r="E469" s="8" t="s">
        <v>51</v>
      </c>
      <c r="F469" s="7">
        <v>600</v>
      </c>
      <c r="G469" s="7">
        <v>1100</v>
      </c>
      <c r="H469" s="7">
        <f>(F469+G469)/2</f>
        <v>850</v>
      </c>
      <c r="I469" s="9">
        <v>15</v>
      </c>
      <c r="J469" s="10" t="s">
        <v>26</v>
      </c>
      <c r="K469" s="8" t="s">
        <v>27</v>
      </c>
      <c r="L469" s="8" t="s">
        <v>28</v>
      </c>
      <c r="M469" s="8"/>
      <c r="N469" s="8" t="s">
        <v>452</v>
      </c>
      <c r="O469" s="8" t="s">
        <v>44</v>
      </c>
      <c r="P469" s="11">
        <v>4.0999999999999996</v>
      </c>
      <c r="Q469" s="11">
        <v>2.2000000000000002</v>
      </c>
      <c r="R469" s="11">
        <v>4.0999999999999996</v>
      </c>
      <c r="S469" s="11">
        <f>P469*4</f>
        <v>16.399999999999999</v>
      </c>
      <c r="T469" s="11">
        <f>Q469*4</f>
        <v>8.8000000000000007</v>
      </c>
      <c r="U469" s="11">
        <f>R469*4</f>
        <v>16.399999999999999</v>
      </c>
      <c r="V469" s="12"/>
      <c r="W469" s="12">
        <f>V469/1000</f>
        <v>0</v>
      </c>
    </row>
    <row r="470" spans="1:23" x14ac:dyDescent="0.25">
      <c r="A470" s="7">
        <v>471</v>
      </c>
      <c r="B470" s="8" t="s">
        <v>526</v>
      </c>
      <c r="C470" s="8" t="s">
        <v>591</v>
      </c>
      <c r="D470" s="7" t="s">
        <v>528</v>
      </c>
      <c r="E470" s="8" t="s">
        <v>51</v>
      </c>
      <c r="F470" s="7">
        <v>600</v>
      </c>
      <c r="G470" s="7">
        <v>1100</v>
      </c>
      <c r="H470" s="7">
        <f>(F470+G470)/2</f>
        <v>850</v>
      </c>
      <c r="I470" s="9">
        <v>15</v>
      </c>
      <c r="J470" s="10" t="s">
        <v>26</v>
      </c>
      <c r="K470" s="8" t="s">
        <v>108</v>
      </c>
      <c r="L470" s="8" t="s">
        <v>109</v>
      </c>
      <c r="M470" s="8"/>
      <c r="N470" s="8" t="s">
        <v>452</v>
      </c>
      <c r="O470" s="8" t="s">
        <v>44</v>
      </c>
      <c r="P470" s="11">
        <v>4.7</v>
      </c>
      <c r="Q470" s="11">
        <v>2.5</v>
      </c>
      <c r="R470" s="11">
        <v>4.7</v>
      </c>
      <c r="S470" s="11">
        <f>P470*4</f>
        <v>18.8</v>
      </c>
      <c r="T470" s="11">
        <f>Q470*4</f>
        <v>10</v>
      </c>
      <c r="U470" s="11">
        <f>R470*4</f>
        <v>18.8</v>
      </c>
      <c r="V470" s="12"/>
      <c r="W470" s="12">
        <f>V470/1000</f>
        <v>0</v>
      </c>
    </row>
    <row r="471" spans="1:23" x14ac:dyDescent="0.25">
      <c r="A471" s="7">
        <v>472</v>
      </c>
      <c r="B471" s="8" t="s">
        <v>592</v>
      </c>
      <c r="C471" s="8" t="s">
        <v>593</v>
      </c>
      <c r="D471" s="7" t="s">
        <v>594</v>
      </c>
      <c r="E471" s="8" t="s">
        <v>51</v>
      </c>
      <c r="F471" s="7">
        <v>600</v>
      </c>
      <c r="G471" s="7">
        <v>800</v>
      </c>
      <c r="H471" s="7">
        <f>(F471+G471)/2</f>
        <v>700</v>
      </c>
      <c r="I471" s="9">
        <v>5</v>
      </c>
      <c r="J471" s="10" t="s">
        <v>34</v>
      </c>
      <c r="K471" s="8" t="s">
        <v>42</v>
      </c>
      <c r="L471" s="8" t="s">
        <v>43</v>
      </c>
      <c r="M471" s="8"/>
      <c r="N471" s="8"/>
      <c r="O471" s="8" t="s">
        <v>29</v>
      </c>
      <c r="P471" s="11">
        <v>6.8</v>
      </c>
      <c r="Q471" s="11">
        <v>7.2</v>
      </c>
      <c r="R471" s="11">
        <v>7.3</v>
      </c>
      <c r="S471" s="11">
        <f>P471*4</f>
        <v>27.2</v>
      </c>
      <c r="T471" s="11">
        <f>Q471*4</f>
        <v>28.8</v>
      </c>
      <c r="U471" s="11">
        <f>R471*4</f>
        <v>29.2</v>
      </c>
      <c r="V471" s="12">
        <f>(4/3)*3.14*(U471/2)^3</f>
        <v>13029.476053333332</v>
      </c>
      <c r="W471" s="12">
        <f>V471/1000</f>
        <v>13.029476053333331</v>
      </c>
    </row>
    <row r="472" spans="1:23" x14ac:dyDescent="0.25">
      <c r="A472" s="7">
        <v>473</v>
      </c>
      <c r="B472" s="8" t="s">
        <v>592</v>
      </c>
      <c r="C472" s="8" t="s">
        <v>595</v>
      </c>
      <c r="D472" s="7" t="s">
        <v>594</v>
      </c>
      <c r="E472" s="8" t="s">
        <v>51</v>
      </c>
      <c r="F472" s="7">
        <v>600</v>
      </c>
      <c r="G472" s="7">
        <v>800</v>
      </c>
      <c r="H472" s="7">
        <f>(F472+G472)/2</f>
        <v>700</v>
      </c>
      <c r="I472" s="9">
        <v>5</v>
      </c>
      <c r="J472" s="10" t="s">
        <v>32</v>
      </c>
      <c r="K472" s="8" t="s">
        <v>42</v>
      </c>
      <c r="L472" s="8" t="s">
        <v>43</v>
      </c>
      <c r="M472" s="8"/>
      <c r="N472" s="8"/>
      <c r="O472" s="8" t="s">
        <v>29</v>
      </c>
      <c r="P472" s="11">
        <v>8.5</v>
      </c>
      <c r="Q472" s="11">
        <v>9.1999999999999993</v>
      </c>
      <c r="R472" s="11">
        <v>9.3000000000000007</v>
      </c>
      <c r="S472" s="11">
        <f>P472*4</f>
        <v>34</v>
      </c>
      <c r="T472" s="11">
        <f>Q472*4</f>
        <v>36.799999999999997</v>
      </c>
      <c r="U472" s="11">
        <f>R472*4</f>
        <v>37.200000000000003</v>
      </c>
      <c r="V472" s="12">
        <f>(4/3)*3.14*(U472/2)^3</f>
        <v>26940.597120000006</v>
      </c>
      <c r="W472" s="12">
        <f>V472/1000</f>
        <v>26.940597120000007</v>
      </c>
    </row>
    <row r="473" spans="1:23" x14ac:dyDescent="0.25">
      <c r="A473" s="7">
        <v>474</v>
      </c>
      <c r="B473" s="8" t="s">
        <v>592</v>
      </c>
      <c r="C473" s="8" t="s">
        <v>596</v>
      </c>
      <c r="D473" s="7" t="s">
        <v>594</v>
      </c>
      <c r="E473" s="8" t="s">
        <v>51</v>
      </c>
      <c r="F473" s="7">
        <v>600</v>
      </c>
      <c r="G473" s="7">
        <v>800</v>
      </c>
      <c r="H473" s="7">
        <f>(F473+G473)/2</f>
        <v>700</v>
      </c>
      <c r="I473" s="9">
        <v>4</v>
      </c>
      <c r="J473" s="10" t="s">
        <v>32</v>
      </c>
      <c r="K473" s="8" t="s">
        <v>108</v>
      </c>
      <c r="L473" s="8" t="s">
        <v>109</v>
      </c>
      <c r="M473" s="8"/>
      <c r="N473" s="8"/>
      <c r="O473" s="8" t="s">
        <v>44</v>
      </c>
      <c r="P473" s="11">
        <v>11</v>
      </c>
      <c r="Q473" s="11">
        <v>8.6</v>
      </c>
      <c r="R473" s="11">
        <v>11</v>
      </c>
      <c r="S473" s="11">
        <f>P473*4</f>
        <v>44</v>
      </c>
      <c r="T473" s="11">
        <f>Q473*4</f>
        <v>34.4</v>
      </c>
      <c r="U473" s="11">
        <f>R473*4</f>
        <v>44</v>
      </c>
      <c r="V473" s="12">
        <f>(2/3)*3.14*(U473/2)^3</f>
        <v>22289.813333333332</v>
      </c>
      <c r="W473" s="12">
        <f>V473/1000</f>
        <v>22.289813333333331</v>
      </c>
    </row>
    <row r="474" spans="1:23" x14ac:dyDescent="0.25">
      <c r="A474" s="7">
        <v>475</v>
      </c>
      <c r="B474" s="8" t="s">
        <v>592</v>
      </c>
      <c r="C474" s="8" t="s">
        <v>597</v>
      </c>
      <c r="D474" s="7" t="s">
        <v>594</v>
      </c>
      <c r="E474" s="8" t="s">
        <v>51</v>
      </c>
      <c r="F474" s="7">
        <v>600</v>
      </c>
      <c r="G474" s="7">
        <v>800</v>
      </c>
      <c r="H474" s="7">
        <f>(F474+G474)/2</f>
        <v>700</v>
      </c>
      <c r="I474" s="9">
        <v>4</v>
      </c>
      <c r="J474" s="10" t="s">
        <v>34</v>
      </c>
      <c r="K474" s="8" t="s">
        <v>27</v>
      </c>
      <c r="L474" s="8" t="s">
        <v>28</v>
      </c>
      <c r="M474" s="8" t="s">
        <v>437</v>
      </c>
      <c r="N474" s="8"/>
      <c r="O474" s="8" t="s">
        <v>29</v>
      </c>
      <c r="P474" s="11">
        <v>6.5</v>
      </c>
      <c r="Q474" s="11">
        <v>4.8</v>
      </c>
      <c r="R474" s="11">
        <v>7.5</v>
      </c>
      <c r="S474" s="11">
        <f>P474*4</f>
        <v>26</v>
      </c>
      <c r="T474" s="11">
        <f>Q474*4</f>
        <v>19.2</v>
      </c>
      <c r="U474" s="11">
        <f>R474*4</f>
        <v>30</v>
      </c>
      <c r="V474" s="12">
        <f>(2/3)*3.14*(U474/2)^3</f>
        <v>7065</v>
      </c>
      <c r="W474" s="12">
        <f>V474/1000</f>
        <v>7.0650000000000004</v>
      </c>
    </row>
    <row r="475" spans="1:23" x14ac:dyDescent="0.25">
      <c r="A475" s="7">
        <v>476</v>
      </c>
      <c r="B475" s="8" t="s">
        <v>592</v>
      </c>
      <c r="C475" s="8" t="s">
        <v>598</v>
      </c>
      <c r="D475" s="7" t="s">
        <v>594</v>
      </c>
      <c r="E475" s="8" t="s">
        <v>51</v>
      </c>
      <c r="F475" s="7">
        <v>600</v>
      </c>
      <c r="G475" s="7">
        <v>800</v>
      </c>
      <c r="H475" s="7">
        <f>(F475+G475)/2</f>
        <v>700</v>
      </c>
      <c r="I475" s="9">
        <v>5</v>
      </c>
      <c r="J475" s="10" t="s">
        <v>26</v>
      </c>
      <c r="K475" s="8" t="s">
        <v>108</v>
      </c>
      <c r="L475" s="8" t="s">
        <v>109</v>
      </c>
      <c r="M475" s="8"/>
      <c r="N475" s="8"/>
      <c r="O475" s="8" t="s">
        <v>44</v>
      </c>
      <c r="P475" s="11">
        <v>4.2</v>
      </c>
      <c r="Q475" s="11">
        <v>4.9000000000000004</v>
      </c>
      <c r="R475" s="11">
        <v>5.2</v>
      </c>
      <c r="S475" s="11">
        <f>P475*4</f>
        <v>16.8</v>
      </c>
      <c r="T475" s="11">
        <f>Q475*4</f>
        <v>19.600000000000001</v>
      </c>
      <c r="U475" s="11">
        <f>R475*4</f>
        <v>20.8</v>
      </c>
      <c r="V475" s="12">
        <f>(4/3)*3.14*(U475/2)^3</f>
        <v>4709.4306133333339</v>
      </c>
      <c r="W475" s="12">
        <f>V475/1000</f>
        <v>4.7094306133333337</v>
      </c>
    </row>
    <row r="476" spans="1:23" x14ac:dyDescent="0.25">
      <c r="A476" s="7">
        <v>477</v>
      </c>
      <c r="B476" s="8" t="s">
        <v>592</v>
      </c>
      <c r="C476" s="8" t="s">
        <v>599</v>
      </c>
      <c r="D476" s="7" t="s">
        <v>594</v>
      </c>
      <c r="E476" s="8" t="s">
        <v>51</v>
      </c>
      <c r="F476" s="7">
        <v>600</v>
      </c>
      <c r="G476" s="7">
        <v>800</v>
      </c>
      <c r="H476" s="7">
        <f>(F476+G476)/2</f>
        <v>700</v>
      </c>
      <c r="I476" s="9">
        <v>15</v>
      </c>
      <c r="J476" s="10" t="s">
        <v>26</v>
      </c>
      <c r="K476" s="8" t="s">
        <v>108</v>
      </c>
      <c r="L476" s="8" t="s">
        <v>109</v>
      </c>
      <c r="M476" s="8" t="s">
        <v>561</v>
      </c>
      <c r="N476" s="8" t="s">
        <v>452</v>
      </c>
      <c r="O476" s="8" t="s">
        <v>29</v>
      </c>
      <c r="P476" s="11">
        <v>4</v>
      </c>
      <c r="Q476" s="11">
        <v>0</v>
      </c>
      <c r="R476" s="11">
        <v>4</v>
      </c>
      <c r="S476" s="11">
        <f>P476*4</f>
        <v>16</v>
      </c>
      <c r="T476" s="11">
        <f>Q476*4</f>
        <v>0</v>
      </c>
      <c r="U476" s="11">
        <f>R476*4</f>
        <v>16</v>
      </c>
      <c r="V476" s="12"/>
      <c r="W476" s="12">
        <f>V476/1000</f>
        <v>0</v>
      </c>
    </row>
    <row r="477" spans="1:23" x14ac:dyDescent="0.25">
      <c r="A477" s="7">
        <v>478</v>
      </c>
      <c r="B477" s="8" t="s">
        <v>592</v>
      </c>
      <c r="C477" s="8" t="s">
        <v>600</v>
      </c>
      <c r="D477" s="7" t="s">
        <v>594</v>
      </c>
      <c r="E477" s="8" t="s">
        <v>51</v>
      </c>
      <c r="F477" s="7">
        <v>600</v>
      </c>
      <c r="G477" s="7">
        <v>800</v>
      </c>
      <c r="H477" s="7">
        <f>(F477+G477)/2</f>
        <v>700</v>
      </c>
      <c r="I477" s="9">
        <v>15</v>
      </c>
      <c r="J477" s="10" t="s">
        <v>65</v>
      </c>
      <c r="K477" s="8" t="s">
        <v>108</v>
      </c>
      <c r="L477" s="8" t="s">
        <v>109</v>
      </c>
      <c r="M477" s="8" t="s">
        <v>561</v>
      </c>
      <c r="N477" s="8" t="s">
        <v>452</v>
      </c>
      <c r="O477" s="8" t="s">
        <v>44</v>
      </c>
      <c r="P477" s="11">
        <v>3.5</v>
      </c>
      <c r="Q477" s="11">
        <v>0</v>
      </c>
      <c r="R477" s="11">
        <v>3.5</v>
      </c>
      <c r="S477" s="11">
        <f>P477*4</f>
        <v>14</v>
      </c>
      <c r="T477" s="11">
        <f>Q477*4</f>
        <v>0</v>
      </c>
      <c r="U477" s="11">
        <f>R477*4</f>
        <v>14</v>
      </c>
      <c r="V477" s="12"/>
      <c r="W477" s="12">
        <f>V477/1000</f>
        <v>0</v>
      </c>
    </row>
    <row r="478" spans="1:23" x14ac:dyDescent="0.25">
      <c r="A478" s="7">
        <v>479</v>
      </c>
      <c r="B478" s="8" t="s">
        <v>592</v>
      </c>
      <c r="C478" s="8" t="s">
        <v>601</v>
      </c>
      <c r="D478" s="7" t="s">
        <v>594</v>
      </c>
      <c r="E478" s="8" t="s">
        <v>51</v>
      </c>
      <c r="F478" s="7">
        <v>600</v>
      </c>
      <c r="G478" s="7">
        <v>800</v>
      </c>
      <c r="H478" s="7">
        <f>(F478+G478)/2</f>
        <v>700</v>
      </c>
      <c r="I478" s="9">
        <v>15</v>
      </c>
      <c r="J478" s="10" t="s">
        <v>26</v>
      </c>
      <c r="K478" s="8" t="s">
        <v>108</v>
      </c>
      <c r="L478" s="8" t="s">
        <v>109</v>
      </c>
      <c r="M478" s="8" t="s">
        <v>561</v>
      </c>
      <c r="N478" s="8"/>
      <c r="O478" s="8" t="s">
        <v>44</v>
      </c>
      <c r="P478" s="11">
        <v>4.2</v>
      </c>
      <c r="Q478" s="11">
        <v>0</v>
      </c>
      <c r="R478" s="11">
        <v>4.2</v>
      </c>
      <c r="S478" s="11">
        <f>P478*4</f>
        <v>16.8</v>
      </c>
      <c r="T478" s="11">
        <f>Q478*4</f>
        <v>0</v>
      </c>
      <c r="U478" s="11">
        <f>R478*4</f>
        <v>16.8</v>
      </c>
      <c r="V478" s="12"/>
      <c r="W478" s="12">
        <f>V478/1000</f>
        <v>0</v>
      </c>
    </row>
    <row r="479" spans="1:23" x14ac:dyDescent="0.25">
      <c r="A479" s="7">
        <v>480</v>
      </c>
      <c r="B479" s="8" t="s">
        <v>592</v>
      </c>
      <c r="C479" s="8" t="s">
        <v>602</v>
      </c>
      <c r="D479" s="7" t="s">
        <v>594</v>
      </c>
      <c r="E479" s="8" t="s">
        <v>51</v>
      </c>
      <c r="F479" s="7">
        <v>600</v>
      </c>
      <c r="G479" s="7">
        <v>800</v>
      </c>
      <c r="H479" s="7">
        <f>(F479+G479)/2</f>
        <v>700</v>
      </c>
      <c r="I479" s="9">
        <v>6</v>
      </c>
      <c r="J479" s="10" t="s">
        <v>65</v>
      </c>
      <c r="K479" s="8" t="s">
        <v>27</v>
      </c>
      <c r="L479" s="8" t="s">
        <v>28</v>
      </c>
      <c r="M479" s="8"/>
      <c r="N479" s="8"/>
      <c r="O479" s="8" t="s">
        <v>44</v>
      </c>
      <c r="P479" s="11">
        <v>1.3</v>
      </c>
      <c r="Q479" s="11">
        <v>2.9</v>
      </c>
      <c r="R479" s="11">
        <v>3.1</v>
      </c>
      <c r="S479" s="11">
        <f>P479*4</f>
        <v>5.2</v>
      </c>
      <c r="T479" s="11">
        <f>Q479*4</f>
        <v>11.6</v>
      </c>
      <c r="U479" s="11">
        <f>R479*4</f>
        <v>12.4</v>
      </c>
      <c r="V479" s="12">
        <f>(4/3)*3.14*(U479/2)^3</f>
        <v>997.79989333333344</v>
      </c>
      <c r="W479" s="12">
        <f>V479/1000</f>
        <v>0.99779989333333341</v>
      </c>
    </row>
    <row r="480" spans="1:23" x14ac:dyDescent="0.25">
      <c r="A480" s="7">
        <v>481</v>
      </c>
      <c r="B480" s="8" t="s">
        <v>592</v>
      </c>
      <c r="C480" s="8" t="s">
        <v>603</v>
      </c>
      <c r="D480" s="7" t="s">
        <v>594</v>
      </c>
      <c r="E480" s="8" t="s">
        <v>51</v>
      </c>
      <c r="F480" s="7">
        <v>600</v>
      </c>
      <c r="G480" s="7">
        <v>800</v>
      </c>
      <c r="H480" s="7">
        <f>(F480+G480)/2</f>
        <v>700</v>
      </c>
      <c r="I480" s="9">
        <v>4</v>
      </c>
      <c r="J480" s="10" t="s">
        <v>65</v>
      </c>
      <c r="K480" s="8" t="s">
        <v>108</v>
      </c>
      <c r="L480" s="8" t="s">
        <v>109</v>
      </c>
      <c r="M480" s="8" t="s">
        <v>39</v>
      </c>
      <c r="N480" s="8"/>
      <c r="O480" s="8" t="s">
        <v>71</v>
      </c>
      <c r="P480" s="11">
        <v>2</v>
      </c>
      <c r="Q480" s="11">
        <v>1.4</v>
      </c>
      <c r="R480" s="11">
        <v>2</v>
      </c>
      <c r="S480" s="11">
        <f>P480*4</f>
        <v>8</v>
      </c>
      <c r="T480" s="11">
        <f>Q480*4</f>
        <v>5.6</v>
      </c>
      <c r="U480" s="11">
        <f>R480*4</f>
        <v>8</v>
      </c>
      <c r="V480" s="12">
        <f>(2/3)*3.14*(U480/2)^3</f>
        <v>133.97333333333333</v>
      </c>
      <c r="W480" s="12">
        <f>V480/1000</f>
        <v>0.13397333333333333</v>
      </c>
    </row>
    <row r="481" spans="1:23" x14ac:dyDescent="0.25">
      <c r="A481" s="7">
        <v>482</v>
      </c>
      <c r="B481" s="8" t="s">
        <v>592</v>
      </c>
      <c r="C481" s="8" t="s">
        <v>604</v>
      </c>
      <c r="D481" s="7" t="s">
        <v>594</v>
      </c>
      <c r="E481" s="8" t="s">
        <v>51</v>
      </c>
      <c r="F481" s="7">
        <v>600</v>
      </c>
      <c r="G481" s="7">
        <v>800</v>
      </c>
      <c r="H481" s="7">
        <f>(F481+G481)/2</f>
        <v>700</v>
      </c>
      <c r="I481" s="9">
        <v>4</v>
      </c>
      <c r="J481" s="10" t="s">
        <v>65</v>
      </c>
      <c r="K481" s="8" t="s">
        <v>27</v>
      </c>
      <c r="L481" s="8" t="s">
        <v>28</v>
      </c>
      <c r="M481" s="8" t="s">
        <v>315</v>
      </c>
      <c r="N481" s="8"/>
      <c r="O481" s="8" t="s">
        <v>71</v>
      </c>
      <c r="P481" s="11">
        <v>3.1</v>
      </c>
      <c r="Q481" s="11">
        <v>2.8</v>
      </c>
      <c r="R481" s="11">
        <v>3.1</v>
      </c>
      <c r="S481" s="11">
        <f>P481*4</f>
        <v>12.4</v>
      </c>
      <c r="T481" s="11">
        <f>Q481*4</f>
        <v>11.2</v>
      </c>
      <c r="U481" s="11">
        <f>R481*4</f>
        <v>12.4</v>
      </c>
      <c r="V481" s="12">
        <f>(2/3)*3.14*(U481/2)^3</f>
        <v>498.89994666666672</v>
      </c>
      <c r="W481" s="12">
        <f>V481/1000</f>
        <v>0.4988999466666667</v>
      </c>
    </row>
    <row r="482" spans="1:23" x14ac:dyDescent="0.25">
      <c r="A482" s="7">
        <v>483</v>
      </c>
      <c r="B482" s="8" t="s">
        <v>592</v>
      </c>
      <c r="C482" s="8" t="s">
        <v>605</v>
      </c>
      <c r="D482" s="7" t="s">
        <v>594</v>
      </c>
      <c r="E482" s="8" t="s">
        <v>51</v>
      </c>
      <c r="F482" s="7">
        <v>600</v>
      </c>
      <c r="G482" s="7">
        <v>800</v>
      </c>
      <c r="H482" s="7">
        <f>(F482+G482)/2</f>
        <v>700</v>
      </c>
      <c r="I482" s="9">
        <v>5</v>
      </c>
      <c r="J482" s="10" t="s">
        <v>65</v>
      </c>
      <c r="K482" s="8" t="s">
        <v>27</v>
      </c>
      <c r="L482" s="8" t="s">
        <v>28</v>
      </c>
      <c r="M482" s="8" t="s">
        <v>315</v>
      </c>
      <c r="N482" s="8"/>
      <c r="O482" s="8" t="s">
        <v>71</v>
      </c>
      <c r="P482" s="11">
        <v>3.1</v>
      </c>
      <c r="Q482" s="11">
        <v>3</v>
      </c>
      <c r="R482" s="11">
        <v>3.5</v>
      </c>
      <c r="S482" s="11">
        <f>P482*4</f>
        <v>12.4</v>
      </c>
      <c r="T482" s="11">
        <f>Q482*4</f>
        <v>12</v>
      </c>
      <c r="U482" s="11">
        <f>R482*4</f>
        <v>14</v>
      </c>
      <c r="V482" s="12">
        <f>(4/3)*3.14*(U482/2)^3</f>
        <v>1436.0266666666666</v>
      </c>
      <c r="W482" s="12">
        <f>V482/1000</f>
        <v>1.4360266666666666</v>
      </c>
    </row>
    <row r="483" spans="1:23" x14ac:dyDescent="0.25">
      <c r="A483" s="7">
        <v>484</v>
      </c>
      <c r="B483" s="8" t="s">
        <v>606</v>
      </c>
      <c r="C483" s="8" t="s">
        <v>607</v>
      </c>
      <c r="D483" s="7" t="s">
        <v>608</v>
      </c>
      <c r="E483" s="8" t="s">
        <v>25</v>
      </c>
      <c r="F483" s="7">
        <v>-400</v>
      </c>
      <c r="G483" s="7">
        <v>-300</v>
      </c>
      <c r="H483" s="7">
        <f>(F483+G483)/2</f>
        <v>-350</v>
      </c>
      <c r="I483" s="9">
        <v>4</v>
      </c>
      <c r="J483" s="10" t="s">
        <v>65</v>
      </c>
      <c r="K483" s="8" t="s">
        <v>263</v>
      </c>
      <c r="L483" s="8" t="s">
        <v>28</v>
      </c>
      <c r="M483" s="8" t="s">
        <v>39</v>
      </c>
      <c r="N483" s="8"/>
      <c r="O483" s="8" t="s">
        <v>71</v>
      </c>
      <c r="P483" s="11">
        <v>2.9</v>
      </c>
      <c r="Q483" s="11">
        <v>2.6</v>
      </c>
      <c r="R483" s="11">
        <v>2.9</v>
      </c>
      <c r="S483" s="11">
        <f>P483*4</f>
        <v>11.6</v>
      </c>
      <c r="T483" s="11">
        <f>Q483*4</f>
        <v>10.4</v>
      </c>
      <c r="U483" s="11">
        <f>R483*4</f>
        <v>11.6</v>
      </c>
      <c r="V483" s="12">
        <f>(2/3)*3.14*(U483/2)^3</f>
        <v>408.43445333333329</v>
      </c>
      <c r="W483" s="12">
        <f>V483/1000</f>
        <v>0.40843445333333328</v>
      </c>
    </row>
    <row r="484" spans="1:23" x14ac:dyDescent="0.25">
      <c r="A484" s="7">
        <v>485</v>
      </c>
      <c r="B484" s="8" t="s">
        <v>606</v>
      </c>
      <c r="C484" s="8" t="s">
        <v>609</v>
      </c>
      <c r="D484" s="7" t="s">
        <v>608</v>
      </c>
      <c r="E484" s="8" t="s">
        <v>25</v>
      </c>
      <c r="F484" s="7">
        <v>-400</v>
      </c>
      <c r="G484" s="7">
        <v>-300</v>
      </c>
      <c r="H484" s="7">
        <f>(F484+G484)/2</f>
        <v>-350</v>
      </c>
      <c r="I484" s="9">
        <v>5</v>
      </c>
      <c r="J484" s="10" t="s">
        <v>65</v>
      </c>
      <c r="K484" s="8" t="s">
        <v>27</v>
      </c>
      <c r="L484" s="8" t="s">
        <v>28</v>
      </c>
      <c r="M484" s="8" t="s">
        <v>39</v>
      </c>
      <c r="N484" s="8"/>
      <c r="O484" s="8" t="s">
        <v>71</v>
      </c>
      <c r="P484" s="11">
        <v>2.8</v>
      </c>
      <c r="Q484" s="11">
        <v>2.4</v>
      </c>
      <c r="R484" s="11">
        <v>3.2</v>
      </c>
      <c r="S484" s="11">
        <f>P484*4</f>
        <v>11.2</v>
      </c>
      <c r="T484" s="11">
        <f>Q484*4</f>
        <v>9.6</v>
      </c>
      <c r="U484" s="11">
        <f>R484*4</f>
        <v>12.8</v>
      </c>
      <c r="V484" s="12">
        <f>(4/3)*3.14*(U484/2)^3</f>
        <v>1097.5095466666669</v>
      </c>
      <c r="W484" s="12">
        <f>V484/1000</f>
        <v>1.0975095466666669</v>
      </c>
    </row>
    <row r="485" spans="1:23" x14ac:dyDescent="0.25">
      <c r="A485" s="7">
        <v>486</v>
      </c>
      <c r="B485" s="8" t="s">
        <v>606</v>
      </c>
      <c r="C485" s="8" t="s">
        <v>610</v>
      </c>
      <c r="D485" s="7" t="s">
        <v>608</v>
      </c>
      <c r="E485" s="8" t="s">
        <v>25</v>
      </c>
      <c r="F485" s="7">
        <v>-400</v>
      </c>
      <c r="G485" s="7">
        <v>-300</v>
      </c>
      <c r="H485" s="7">
        <f>(F485+G485)/2</f>
        <v>-350</v>
      </c>
      <c r="I485" s="9">
        <v>4</v>
      </c>
      <c r="J485" s="10" t="s">
        <v>65</v>
      </c>
      <c r="K485" s="8" t="s">
        <v>27</v>
      </c>
      <c r="L485" s="8" t="s">
        <v>28</v>
      </c>
      <c r="M485" s="8" t="s">
        <v>39</v>
      </c>
      <c r="N485" s="8"/>
      <c r="O485" s="8" t="s">
        <v>71</v>
      </c>
      <c r="P485" s="11">
        <v>2.5</v>
      </c>
      <c r="Q485" s="11">
        <v>2.2999999999999998</v>
      </c>
      <c r="R485" s="11">
        <v>2.5</v>
      </c>
      <c r="S485" s="11">
        <f>P485*4</f>
        <v>10</v>
      </c>
      <c r="T485" s="11">
        <f>Q485*4</f>
        <v>9.1999999999999993</v>
      </c>
      <c r="U485" s="11">
        <f>R485*4</f>
        <v>10</v>
      </c>
      <c r="V485" s="12">
        <f>(2/3)*3.14*(U485/2)^3</f>
        <v>261.66666666666669</v>
      </c>
      <c r="W485" s="12">
        <f>V485/1000</f>
        <v>0.26166666666666666</v>
      </c>
    </row>
    <row r="486" spans="1:23" x14ac:dyDescent="0.25">
      <c r="A486" s="7">
        <v>487</v>
      </c>
      <c r="B486" s="8" t="s">
        <v>606</v>
      </c>
      <c r="C486" s="8" t="s">
        <v>611</v>
      </c>
      <c r="D486" s="7" t="s">
        <v>612</v>
      </c>
      <c r="E486" s="8" t="s">
        <v>51</v>
      </c>
      <c r="F486" s="7">
        <v>1000</v>
      </c>
      <c r="G486" s="7">
        <v>1100</v>
      </c>
      <c r="H486" s="7">
        <f>(F486+G486)/2</f>
        <v>1050</v>
      </c>
      <c r="I486" s="9">
        <v>15</v>
      </c>
      <c r="J486" s="10" t="s">
        <v>26</v>
      </c>
      <c r="K486" s="8" t="s">
        <v>68</v>
      </c>
      <c r="L486" s="8" t="s">
        <v>28</v>
      </c>
      <c r="M486" s="8" t="s">
        <v>561</v>
      </c>
      <c r="N486" s="8"/>
      <c r="O486" s="8" t="s">
        <v>29</v>
      </c>
      <c r="P486" s="11">
        <v>4.7</v>
      </c>
      <c r="Q486" s="11">
        <v>0</v>
      </c>
      <c r="R486" s="11">
        <v>4.7</v>
      </c>
      <c r="S486" s="11">
        <f>P486*4</f>
        <v>18.8</v>
      </c>
      <c r="T486" s="11">
        <f>Q486*4</f>
        <v>0</v>
      </c>
      <c r="U486" s="11">
        <f>R486*4</f>
        <v>18.8</v>
      </c>
      <c r="V486" s="12"/>
      <c r="W486" s="12">
        <f>V486/1000</f>
        <v>0</v>
      </c>
    </row>
    <row r="487" spans="1:23" x14ac:dyDescent="0.25">
      <c r="A487" s="7">
        <v>488</v>
      </c>
      <c r="B487" s="8" t="s">
        <v>606</v>
      </c>
      <c r="C487" s="8" t="s">
        <v>613</v>
      </c>
      <c r="D487" s="7" t="s">
        <v>612</v>
      </c>
      <c r="E487" s="8" t="s">
        <v>51</v>
      </c>
      <c r="F487" s="7">
        <v>1000</v>
      </c>
      <c r="G487" s="7">
        <v>1100</v>
      </c>
      <c r="H487" s="7">
        <f>(F487+G487)/2</f>
        <v>1050</v>
      </c>
      <c r="I487" s="9">
        <v>15</v>
      </c>
      <c r="J487" s="10" t="s">
        <v>26</v>
      </c>
      <c r="K487" s="8" t="s">
        <v>27</v>
      </c>
      <c r="L487" s="8" t="s">
        <v>28</v>
      </c>
      <c r="M487" s="8" t="s">
        <v>561</v>
      </c>
      <c r="N487" s="8"/>
      <c r="O487" s="8" t="s">
        <v>29</v>
      </c>
      <c r="P487" s="11">
        <v>4.3</v>
      </c>
      <c r="Q487" s="11">
        <v>0</v>
      </c>
      <c r="R487" s="11">
        <v>4.3</v>
      </c>
      <c r="S487" s="11">
        <f>P487*4</f>
        <v>17.2</v>
      </c>
      <c r="T487" s="11">
        <f>Q487*4</f>
        <v>0</v>
      </c>
      <c r="U487" s="11">
        <f>R487*4</f>
        <v>17.2</v>
      </c>
      <c r="V487" s="12"/>
      <c r="W487" s="12">
        <f>V487/1000</f>
        <v>0</v>
      </c>
    </row>
    <row r="488" spans="1:23" x14ac:dyDescent="0.25">
      <c r="A488" s="7">
        <v>489</v>
      </c>
      <c r="B488" s="8" t="s">
        <v>606</v>
      </c>
      <c r="C488" s="8" t="s">
        <v>614</v>
      </c>
      <c r="D488" s="7" t="s">
        <v>612</v>
      </c>
      <c r="E488" s="8" t="s">
        <v>51</v>
      </c>
      <c r="F488" s="7">
        <v>1000</v>
      </c>
      <c r="G488" s="7">
        <v>1100</v>
      </c>
      <c r="H488" s="7">
        <f>(F488+G488)/2</f>
        <v>1050</v>
      </c>
      <c r="I488" s="9">
        <v>15</v>
      </c>
      <c r="J488" s="10" t="s">
        <v>26</v>
      </c>
      <c r="K488" s="8" t="s">
        <v>27</v>
      </c>
      <c r="L488" s="8" t="s">
        <v>28</v>
      </c>
      <c r="M488" s="8" t="s">
        <v>561</v>
      </c>
      <c r="N488" s="8" t="s">
        <v>452</v>
      </c>
      <c r="O488" s="8" t="s">
        <v>29</v>
      </c>
      <c r="P488" s="11">
        <v>4</v>
      </c>
      <c r="Q488" s="11">
        <v>0</v>
      </c>
      <c r="R488" s="11">
        <v>4</v>
      </c>
      <c r="S488" s="11">
        <f>P488*4</f>
        <v>16</v>
      </c>
      <c r="T488" s="11">
        <f>Q488*4</f>
        <v>0</v>
      </c>
      <c r="U488" s="11">
        <f>R488*4</f>
        <v>16</v>
      </c>
      <c r="V488" s="12"/>
      <c r="W488" s="12">
        <f>V488/1000</f>
        <v>0</v>
      </c>
    </row>
    <row r="489" spans="1:23" x14ac:dyDescent="0.25">
      <c r="A489" s="7">
        <v>490</v>
      </c>
      <c r="B489" s="8" t="s">
        <v>606</v>
      </c>
      <c r="C489" s="8" t="s">
        <v>615</v>
      </c>
      <c r="D489" s="7" t="s">
        <v>612</v>
      </c>
      <c r="E489" s="8" t="s">
        <v>51</v>
      </c>
      <c r="F489" s="7">
        <v>1000</v>
      </c>
      <c r="G489" s="7">
        <v>1100</v>
      </c>
      <c r="H489" s="7">
        <f>(F489+G489)/2</f>
        <v>1050</v>
      </c>
      <c r="I489" s="9">
        <v>15</v>
      </c>
      <c r="J489" s="10" t="s">
        <v>26</v>
      </c>
      <c r="K489" s="8" t="s">
        <v>27</v>
      </c>
      <c r="L489" s="8" t="s">
        <v>28</v>
      </c>
      <c r="M489" s="8"/>
      <c r="N489" s="8"/>
      <c r="O489" s="8" t="s">
        <v>44</v>
      </c>
      <c r="P489" s="11">
        <v>4.5999999999999996</v>
      </c>
      <c r="Q489" s="11">
        <v>2.2999999999999998</v>
      </c>
      <c r="R489" s="11">
        <v>4.5999999999999996</v>
      </c>
      <c r="S489" s="11">
        <f>P489*4</f>
        <v>18.399999999999999</v>
      </c>
      <c r="T489" s="11">
        <f>Q489*4</f>
        <v>9.1999999999999993</v>
      </c>
      <c r="U489" s="11">
        <f>R489*4</f>
        <v>18.399999999999999</v>
      </c>
      <c r="V489" s="12"/>
      <c r="W489" s="12">
        <f>V489/1000</f>
        <v>0</v>
      </c>
    </row>
    <row r="490" spans="1:23" x14ac:dyDescent="0.25">
      <c r="A490" s="7">
        <v>491</v>
      </c>
      <c r="B490" s="8" t="s">
        <v>606</v>
      </c>
      <c r="C490" s="8" t="s">
        <v>616</v>
      </c>
      <c r="D490" s="7" t="s">
        <v>612</v>
      </c>
      <c r="E490" s="8" t="s">
        <v>51</v>
      </c>
      <c r="F490" s="7">
        <v>1000</v>
      </c>
      <c r="G490" s="7">
        <v>1100</v>
      </c>
      <c r="H490" s="7">
        <f>(F490+G490)/2</f>
        <v>1050</v>
      </c>
      <c r="I490" s="9">
        <v>15</v>
      </c>
      <c r="J490" s="10" t="s">
        <v>26</v>
      </c>
      <c r="K490" s="8" t="s">
        <v>108</v>
      </c>
      <c r="L490" s="8" t="s">
        <v>109</v>
      </c>
      <c r="M490" s="8" t="s">
        <v>561</v>
      </c>
      <c r="N490" s="8"/>
      <c r="O490" s="8" t="s">
        <v>29</v>
      </c>
      <c r="P490" s="11">
        <v>4.8</v>
      </c>
      <c r="Q490" s="11">
        <v>4.2</v>
      </c>
      <c r="R490" s="11">
        <v>4.8</v>
      </c>
      <c r="S490" s="11">
        <f>P490*4</f>
        <v>19.2</v>
      </c>
      <c r="T490" s="11">
        <f>Q490*4</f>
        <v>16.8</v>
      </c>
      <c r="U490" s="11">
        <f>R490*4</f>
        <v>19.2</v>
      </c>
      <c r="V490" s="12"/>
      <c r="W490" s="12">
        <f>V490/1000</f>
        <v>0</v>
      </c>
    </row>
    <row r="491" spans="1:23" x14ac:dyDescent="0.25">
      <c r="A491" s="7">
        <v>492</v>
      </c>
      <c r="B491" s="8" t="s">
        <v>606</v>
      </c>
      <c r="C491" s="8" t="s">
        <v>617</v>
      </c>
      <c r="D491" s="7" t="s">
        <v>612</v>
      </c>
      <c r="E491" s="8" t="s">
        <v>51</v>
      </c>
      <c r="F491" s="7">
        <v>1000</v>
      </c>
      <c r="G491" s="7">
        <v>1100</v>
      </c>
      <c r="H491" s="7">
        <f>(F491+G491)/2</f>
        <v>1050</v>
      </c>
      <c r="I491" s="9">
        <v>15</v>
      </c>
      <c r="J491" s="10" t="s">
        <v>65</v>
      </c>
      <c r="K491" s="8" t="s">
        <v>42</v>
      </c>
      <c r="L491" s="8" t="s">
        <v>43</v>
      </c>
      <c r="M491" s="8" t="s">
        <v>561</v>
      </c>
      <c r="N491" s="8"/>
      <c r="O491" s="8" t="s">
        <v>71</v>
      </c>
      <c r="P491" s="11">
        <v>3.6</v>
      </c>
      <c r="Q491" s="11">
        <v>3.7</v>
      </c>
      <c r="R491" s="11">
        <v>3.6</v>
      </c>
      <c r="S491" s="11">
        <f>P491*4</f>
        <v>14.4</v>
      </c>
      <c r="T491" s="11">
        <f>Q491*4</f>
        <v>14.8</v>
      </c>
      <c r="U491" s="11">
        <f>R491*4</f>
        <v>14.4</v>
      </c>
      <c r="V491" s="12"/>
      <c r="W491" s="12">
        <f>V491/1000</f>
        <v>0</v>
      </c>
    </row>
    <row r="492" spans="1:23" x14ac:dyDescent="0.25">
      <c r="A492" s="7">
        <v>493</v>
      </c>
      <c r="B492" s="8" t="s">
        <v>606</v>
      </c>
      <c r="C492" s="8" t="s">
        <v>618</v>
      </c>
      <c r="D492" s="7" t="s">
        <v>612</v>
      </c>
      <c r="E492" s="8" t="s">
        <v>51</v>
      </c>
      <c r="F492" s="7">
        <v>1000</v>
      </c>
      <c r="G492" s="7">
        <v>1100</v>
      </c>
      <c r="H492" s="7">
        <f>(F492+G492)/2</f>
        <v>1050</v>
      </c>
      <c r="I492" s="9">
        <v>15</v>
      </c>
      <c r="J492" s="10" t="s">
        <v>26</v>
      </c>
      <c r="K492" s="8" t="s">
        <v>42</v>
      </c>
      <c r="L492" s="8" t="s">
        <v>43</v>
      </c>
      <c r="M492" s="8" t="s">
        <v>561</v>
      </c>
      <c r="N492" s="8"/>
      <c r="O492" s="8" t="s">
        <v>71</v>
      </c>
      <c r="P492" s="11">
        <v>4.9000000000000004</v>
      </c>
      <c r="Q492" s="11">
        <v>4.0999999999999996</v>
      </c>
      <c r="R492" s="11">
        <v>4.9000000000000004</v>
      </c>
      <c r="S492" s="11">
        <f>P492*4</f>
        <v>19.600000000000001</v>
      </c>
      <c r="T492" s="11">
        <f>Q492*4</f>
        <v>16.399999999999999</v>
      </c>
      <c r="U492" s="11">
        <f>R492*4</f>
        <v>19.600000000000001</v>
      </c>
      <c r="V492" s="12"/>
      <c r="W492" s="12">
        <f>V492/1000</f>
        <v>0</v>
      </c>
    </row>
    <row r="493" spans="1:23" x14ac:dyDescent="0.25">
      <c r="A493" s="7">
        <v>494</v>
      </c>
      <c r="B493" s="8" t="s">
        <v>606</v>
      </c>
      <c r="C493" s="8" t="s">
        <v>619</v>
      </c>
      <c r="D493" s="7" t="s">
        <v>612</v>
      </c>
      <c r="E493" s="8" t="s">
        <v>51</v>
      </c>
      <c r="F493" s="7">
        <v>1000</v>
      </c>
      <c r="G493" s="7">
        <v>1100</v>
      </c>
      <c r="H493" s="7">
        <f>(F493+G493)/2</f>
        <v>1050</v>
      </c>
      <c r="I493" s="9">
        <v>15</v>
      </c>
      <c r="J493" s="10" t="s">
        <v>26</v>
      </c>
      <c r="K493" s="8" t="s">
        <v>108</v>
      </c>
      <c r="L493" s="8" t="s">
        <v>109</v>
      </c>
      <c r="M493" s="8" t="s">
        <v>561</v>
      </c>
      <c r="N493" s="8"/>
      <c r="O493" s="8" t="s">
        <v>71</v>
      </c>
      <c r="P493" s="11">
        <v>4.5999999999999996</v>
      </c>
      <c r="Q493" s="11">
        <v>4.5999999999999996</v>
      </c>
      <c r="R493" s="11">
        <v>4.5999999999999996</v>
      </c>
      <c r="S493" s="11">
        <f>P493*4</f>
        <v>18.399999999999999</v>
      </c>
      <c r="T493" s="11">
        <f>Q493*4</f>
        <v>18.399999999999999</v>
      </c>
      <c r="U493" s="11">
        <f>R493*4</f>
        <v>18.399999999999999</v>
      </c>
      <c r="V493" s="12"/>
      <c r="W493" s="12">
        <f>V493/1000</f>
        <v>0</v>
      </c>
    </row>
    <row r="494" spans="1:23" x14ac:dyDescent="0.25">
      <c r="A494" s="7">
        <v>495</v>
      </c>
      <c r="B494" s="8" t="s">
        <v>606</v>
      </c>
      <c r="C494" s="8" t="s">
        <v>620</v>
      </c>
      <c r="D494" s="7" t="s">
        <v>612</v>
      </c>
      <c r="E494" s="8" t="s">
        <v>51</v>
      </c>
      <c r="F494" s="7">
        <v>1000</v>
      </c>
      <c r="G494" s="7">
        <v>1100</v>
      </c>
      <c r="H494" s="7">
        <f>(F494+G494)/2</f>
        <v>1050</v>
      </c>
      <c r="I494" s="9">
        <v>15</v>
      </c>
      <c r="J494" s="10" t="s">
        <v>65</v>
      </c>
      <c r="K494" s="8" t="s">
        <v>42</v>
      </c>
      <c r="L494" s="8" t="s">
        <v>43</v>
      </c>
      <c r="M494" s="8" t="s">
        <v>561</v>
      </c>
      <c r="N494" s="8"/>
      <c r="O494" s="8" t="s">
        <v>71</v>
      </c>
      <c r="P494" s="11">
        <v>3.5</v>
      </c>
      <c r="Q494" s="11">
        <v>3.6</v>
      </c>
      <c r="R494" s="11">
        <v>3.5</v>
      </c>
      <c r="S494" s="11">
        <f>P494*4</f>
        <v>14</v>
      </c>
      <c r="T494" s="11">
        <f>Q494*4</f>
        <v>14.4</v>
      </c>
      <c r="U494" s="11">
        <f>R494*4</f>
        <v>14</v>
      </c>
      <c r="V494" s="12"/>
      <c r="W494" s="12">
        <f>V494/1000</f>
        <v>0</v>
      </c>
    </row>
    <row r="495" spans="1:23" x14ac:dyDescent="0.25">
      <c r="A495" s="7">
        <v>496</v>
      </c>
      <c r="B495" s="8" t="s">
        <v>606</v>
      </c>
      <c r="C495" s="8" t="s">
        <v>621</v>
      </c>
      <c r="D495" s="7" t="s">
        <v>612</v>
      </c>
      <c r="E495" s="8" t="s">
        <v>51</v>
      </c>
      <c r="F495" s="7">
        <v>1000</v>
      </c>
      <c r="G495" s="7">
        <v>1100</v>
      </c>
      <c r="H495" s="7">
        <f>(F495+G495)/2</f>
        <v>1050</v>
      </c>
      <c r="I495" s="9">
        <v>15</v>
      </c>
      <c r="J495" s="10" t="s">
        <v>26</v>
      </c>
      <c r="K495" s="8" t="s">
        <v>108</v>
      </c>
      <c r="L495" s="8" t="s">
        <v>109</v>
      </c>
      <c r="M495" s="8" t="s">
        <v>561</v>
      </c>
      <c r="N495" s="8"/>
      <c r="O495" s="8" t="s">
        <v>44</v>
      </c>
      <c r="P495" s="11">
        <v>5</v>
      </c>
      <c r="Q495" s="11">
        <v>0</v>
      </c>
      <c r="R495" s="11">
        <v>5</v>
      </c>
      <c r="S495" s="11">
        <f>P495*4</f>
        <v>20</v>
      </c>
      <c r="T495" s="11">
        <f>Q495*4</f>
        <v>0</v>
      </c>
      <c r="U495" s="11">
        <f>R495*4</f>
        <v>20</v>
      </c>
      <c r="V495" s="12"/>
      <c r="W495" s="12">
        <f>V495/1000</f>
        <v>0</v>
      </c>
    </row>
    <row r="496" spans="1:23" x14ac:dyDescent="0.25">
      <c r="A496" s="7">
        <v>497</v>
      </c>
      <c r="B496" s="8" t="s">
        <v>606</v>
      </c>
      <c r="C496" s="8" t="s">
        <v>622</v>
      </c>
      <c r="D496" s="7" t="s">
        <v>612</v>
      </c>
      <c r="E496" s="8" t="s">
        <v>51</v>
      </c>
      <c r="F496" s="7">
        <v>1000</v>
      </c>
      <c r="G496" s="7">
        <v>1100</v>
      </c>
      <c r="H496" s="7">
        <f>(F496+G496)/2</f>
        <v>1050</v>
      </c>
      <c r="I496" s="9">
        <v>15</v>
      </c>
      <c r="J496" s="10" t="s">
        <v>26</v>
      </c>
      <c r="K496" s="8" t="s">
        <v>42</v>
      </c>
      <c r="L496" s="8" t="s">
        <v>43</v>
      </c>
      <c r="M496" s="8" t="s">
        <v>561</v>
      </c>
      <c r="N496" s="8"/>
      <c r="O496" s="8" t="s">
        <v>29</v>
      </c>
      <c r="P496" s="11">
        <v>5.2</v>
      </c>
      <c r="Q496" s="11">
        <v>0</v>
      </c>
      <c r="R496" s="11">
        <v>5.2</v>
      </c>
      <c r="S496" s="11">
        <f>P496*4</f>
        <v>20.8</v>
      </c>
      <c r="T496" s="11">
        <f>Q496*4</f>
        <v>0</v>
      </c>
      <c r="U496" s="11">
        <f>R496*4</f>
        <v>20.8</v>
      </c>
      <c r="V496" s="12"/>
      <c r="W496" s="12">
        <f>V496/1000</f>
        <v>0</v>
      </c>
    </row>
    <row r="497" spans="1:23" x14ac:dyDescent="0.25">
      <c r="A497" s="7">
        <v>498</v>
      </c>
      <c r="B497" s="8" t="s">
        <v>606</v>
      </c>
      <c r="C497" s="8" t="s">
        <v>623</v>
      </c>
      <c r="D497" s="7" t="s">
        <v>612</v>
      </c>
      <c r="E497" s="8" t="s">
        <v>51</v>
      </c>
      <c r="F497" s="7">
        <v>1000</v>
      </c>
      <c r="G497" s="7">
        <v>1100</v>
      </c>
      <c r="H497" s="7">
        <f>(F497+G497)/2</f>
        <v>1050</v>
      </c>
      <c r="I497" s="9">
        <v>15</v>
      </c>
      <c r="J497" s="10" t="s">
        <v>26</v>
      </c>
      <c r="K497" s="8" t="s">
        <v>108</v>
      </c>
      <c r="L497" s="8" t="s">
        <v>109</v>
      </c>
      <c r="M497" s="8" t="s">
        <v>561</v>
      </c>
      <c r="N497" s="8"/>
      <c r="O497" s="8" t="s">
        <v>29</v>
      </c>
      <c r="P497" s="11">
        <v>4.4000000000000004</v>
      </c>
      <c r="Q497" s="11">
        <v>0</v>
      </c>
      <c r="R497" s="11">
        <v>4.4000000000000004</v>
      </c>
      <c r="S497" s="11">
        <f>P497*4</f>
        <v>17.600000000000001</v>
      </c>
      <c r="T497" s="11">
        <f>Q497*4</f>
        <v>0</v>
      </c>
      <c r="U497" s="11">
        <f>R497*4</f>
        <v>17.600000000000001</v>
      </c>
      <c r="V497" s="12"/>
      <c r="W497" s="12">
        <f>V497/1000</f>
        <v>0</v>
      </c>
    </row>
    <row r="498" spans="1:23" x14ac:dyDescent="0.25">
      <c r="A498" s="7">
        <v>499</v>
      </c>
      <c r="B498" s="8" t="s">
        <v>606</v>
      </c>
      <c r="C498" s="8" t="s">
        <v>624</v>
      </c>
      <c r="D498" s="7" t="s">
        <v>612</v>
      </c>
      <c r="E498" s="8" t="s">
        <v>51</v>
      </c>
      <c r="F498" s="7">
        <v>1000</v>
      </c>
      <c r="G498" s="7">
        <v>1100</v>
      </c>
      <c r="H498" s="7">
        <f>(F498+G498)/2</f>
        <v>1050</v>
      </c>
      <c r="I498" s="9">
        <v>15</v>
      </c>
      <c r="J498" s="10" t="s">
        <v>65</v>
      </c>
      <c r="K498" s="8" t="s">
        <v>27</v>
      </c>
      <c r="L498" s="8" t="s">
        <v>28</v>
      </c>
      <c r="M498" s="8" t="s">
        <v>561</v>
      </c>
      <c r="N498" s="8"/>
      <c r="O498" s="8" t="s">
        <v>71</v>
      </c>
      <c r="P498" s="11">
        <v>3.4</v>
      </c>
      <c r="Q498" s="11">
        <v>3.5</v>
      </c>
      <c r="R498" s="11">
        <v>3.4</v>
      </c>
      <c r="S498" s="11">
        <f>P498*4</f>
        <v>13.6</v>
      </c>
      <c r="T498" s="11">
        <f>Q498*4</f>
        <v>14</v>
      </c>
      <c r="U498" s="11">
        <f>R498*4</f>
        <v>13.6</v>
      </c>
      <c r="V498" s="12"/>
      <c r="W498" s="12">
        <f>V498/1000</f>
        <v>0</v>
      </c>
    </row>
    <row r="499" spans="1:23" x14ac:dyDescent="0.25">
      <c r="A499" s="7">
        <v>500</v>
      </c>
      <c r="B499" s="8" t="s">
        <v>606</v>
      </c>
      <c r="C499" s="8" t="s">
        <v>625</v>
      </c>
      <c r="D499" s="7" t="s">
        <v>612</v>
      </c>
      <c r="E499" s="8" t="s">
        <v>51</v>
      </c>
      <c r="F499" s="7">
        <v>1000</v>
      </c>
      <c r="G499" s="7">
        <v>1100</v>
      </c>
      <c r="H499" s="7">
        <f>(F499+G499)/2</f>
        <v>1050</v>
      </c>
      <c r="I499" s="9">
        <v>15</v>
      </c>
      <c r="J499" s="10" t="s">
        <v>26</v>
      </c>
      <c r="K499" s="8" t="s">
        <v>27</v>
      </c>
      <c r="L499" s="8" t="s">
        <v>28</v>
      </c>
      <c r="M499" s="8" t="s">
        <v>561</v>
      </c>
      <c r="N499" s="8"/>
      <c r="O499" s="8" t="s">
        <v>71</v>
      </c>
      <c r="P499" s="11">
        <v>4.0999999999999996</v>
      </c>
      <c r="Q499" s="11">
        <v>3.3</v>
      </c>
      <c r="R499" s="11">
        <v>4.0999999999999996</v>
      </c>
      <c r="S499" s="11">
        <f>P499*4</f>
        <v>16.399999999999999</v>
      </c>
      <c r="T499" s="11">
        <f>Q499*4</f>
        <v>13.2</v>
      </c>
      <c r="U499" s="11">
        <f>R499*4</f>
        <v>16.399999999999999</v>
      </c>
      <c r="V499" s="12"/>
      <c r="W499" s="12">
        <f>V499/1000</f>
        <v>0</v>
      </c>
    </row>
    <row r="500" spans="1:23" x14ac:dyDescent="0.25">
      <c r="A500" s="7">
        <v>501</v>
      </c>
      <c r="B500" s="8" t="s">
        <v>606</v>
      </c>
      <c r="C500" s="8" t="s">
        <v>626</v>
      </c>
      <c r="D500" s="7" t="s">
        <v>612</v>
      </c>
      <c r="E500" s="8" t="s">
        <v>51</v>
      </c>
      <c r="F500" s="7">
        <v>1000</v>
      </c>
      <c r="G500" s="7">
        <v>1100</v>
      </c>
      <c r="H500" s="7">
        <f>(F500+G500)/2</f>
        <v>1050</v>
      </c>
      <c r="I500" s="9">
        <v>15</v>
      </c>
      <c r="J500" s="10" t="s">
        <v>26</v>
      </c>
      <c r="K500" s="8" t="s">
        <v>42</v>
      </c>
      <c r="L500" s="8" t="s">
        <v>43</v>
      </c>
      <c r="M500" s="8"/>
      <c r="N500" s="8"/>
      <c r="O500" s="8" t="s">
        <v>44</v>
      </c>
      <c r="P500" s="11">
        <v>4.8</v>
      </c>
      <c r="Q500" s="11">
        <v>2.1</v>
      </c>
      <c r="R500" s="11">
        <v>4.8</v>
      </c>
      <c r="S500" s="11">
        <f>P500*4</f>
        <v>19.2</v>
      </c>
      <c r="T500" s="11">
        <f>Q500*4</f>
        <v>8.4</v>
      </c>
      <c r="U500" s="11">
        <f>R500*4</f>
        <v>19.2</v>
      </c>
      <c r="V500" s="12"/>
      <c r="W500" s="12">
        <f>V500/1000</f>
        <v>0</v>
      </c>
    </row>
    <row r="501" spans="1:23" x14ac:dyDescent="0.25">
      <c r="A501" s="7">
        <v>502</v>
      </c>
      <c r="B501" s="8" t="s">
        <v>606</v>
      </c>
      <c r="C501" s="8" t="s">
        <v>627</v>
      </c>
      <c r="D501" s="7" t="s">
        <v>612</v>
      </c>
      <c r="E501" s="8" t="s">
        <v>51</v>
      </c>
      <c r="F501" s="7">
        <v>1000</v>
      </c>
      <c r="G501" s="7">
        <v>1100</v>
      </c>
      <c r="H501" s="7">
        <f>(F501+G501)/2</f>
        <v>1050</v>
      </c>
      <c r="I501" s="9">
        <v>15</v>
      </c>
      <c r="J501" s="10" t="s">
        <v>26</v>
      </c>
      <c r="K501" s="8" t="s">
        <v>42</v>
      </c>
      <c r="L501" s="8" t="s">
        <v>43</v>
      </c>
      <c r="M501" s="8" t="s">
        <v>561</v>
      </c>
      <c r="N501" s="8"/>
      <c r="O501" s="8" t="s">
        <v>71</v>
      </c>
      <c r="P501" s="11">
        <v>4.7</v>
      </c>
      <c r="Q501" s="11">
        <v>0</v>
      </c>
      <c r="R501" s="11">
        <v>4.7</v>
      </c>
      <c r="S501" s="11">
        <f>P501*4</f>
        <v>18.8</v>
      </c>
      <c r="T501" s="11">
        <f>Q501*4</f>
        <v>0</v>
      </c>
      <c r="U501" s="11">
        <f>R501*4</f>
        <v>18.8</v>
      </c>
      <c r="V501" s="12"/>
      <c r="W501" s="12">
        <f>V501/1000</f>
        <v>0</v>
      </c>
    </row>
    <row r="502" spans="1:23" x14ac:dyDescent="0.25">
      <c r="A502" s="7">
        <v>503</v>
      </c>
      <c r="B502" s="8" t="s">
        <v>606</v>
      </c>
      <c r="C502" s="8" t="s">
        <v>628</v>
      </c>
      <c r="D502" s="7" t="s">
        <v>612</v>
      </c>
      <c r="E502" s="8" t="s">
        <v>51</v>
      </c>
      <c r="F502" s="7">
        <v>1000</v>
      </c>
      <c r="G502" s="7">
        <v>1100</v>
      </c>
      <c r="H502" s="7">
        <f>(F502+G502)/2</f>
        <v>1050</v>
      </c>
      <c r="I502" s="9">
        <v>15</v>
      </c>
      <c r="J502" s="10" t="s">
        <v>26</v>
      </c>
      <c r="K502" s="8" t="s">
        <v>108</v>
      </c>
      <c r="L502" s="8" t="s">
        <v>109</v>
      </c>
      <c r="M502" s="8"/>
      <c r="N502" s="8"/>
      <c r="O502" s="8" t="s">
        <v>44</v>
      </c>
      <c r="P502" s="11">
        <v>5.0999999999999996</v>
      </c>
      <c r="Q502" s="11">
        <v>2.6</v>
      </c>
      <c r="R502" s="11">
        <v>5.0999999999999996</v>
      </c>
      <c r="S502" s="11">
        <f>P502*4</f>
        <v>20.399999999999999</v>
      </c>
      <c r="T502" s="11">
        <f>Q502*4</f>
        <v>10.4</v>
      </c>
      <c r="U502" s="11">
        <f>R502*4</f>
        <v>20.399999999999999</v>
      </c>
      <c r="V502" s="12"/>
      <c r="W502" s="12">
        <f>V502/1000</f>
        <v>0</v>
      </c>
    </row>
    <row r="503" spans="1:23" x14ac:dyDescent="0.25">
      <c r="A503" s="7">
        <v>504</v>
      </c>
      <c r="B503" s="8" t="s">
        <v>606</v>
      </c>
      <c r="C503" s="8" t="s">
        <v>629</v>
      </c>
      <c r="D503" s="7" t="s">
        <v>612</v>
      </c>
      <c r="E503" s="8" t="s">
        <v>51</v>
      </c>
      <c r="F503" s="7">
        <v>1000</v>
      </c>
      <c r="G503" s="7">
        <v>1100</v>
      </c>
      <c r="H503" s="7">
        <f>(F503+G503)/2</f>
        <v>1050</v>
      </c>
      <c r="I503" s="9">
        <v>5</v>
      </c>
      <c r="J503" s="10" t="s">
        <v>65</v>
      </c>
      <c r="K503" s="8" t="s">
        <v>77</v>
      </c>
      <c r="L503" s="8" t="s">
        <v>77</v>
      </c>
      <c r="M503" s="8"/>
      <c r="N503" s="8"/>
      <c r="O503" s="8" t="s">
        <v>29</v>
      </c>
      <c r="P503" s="11">
        <v>3.1</v>
      </c>
      <c r="Q503" s="11">
        <v>2.2999999999999998</v>
      </c>
      <c r="R503" s="11">
        <v>3.3</v>
      </c>
      <c r="S503" s="11">
        <f>P503*4</f>
        <v>12.4</v>
      </c>
      <c r="T503" s="11">
        <f>Q503*4</f>
        <v>9.1999999999999993</v>
      </c>
      <c r="U503" s="11">
        <f>R503*4</f>
        <v>13.2</v>
      </c>
      <c r="V503" s="12">
        <f>(4/3)*3.14*(U503/2)^3</f>
        <v>1203.6499199999998</v>
      </c>
      <c r="W503" s="12">
        <f>V503/1000</f>
        <v>1.2036499199999999</v>
      </c>
    </row>
    <row r="504" spans="1:23" x14ac:dyDescent="0.25">
      <c r="A504" s="7">
        <v>505</v>
      </c>
      <c r="B504" s="8" t="s">
        <v>606</v>
      </c>
      <c r="C504" s="8" t="s">
        <v>630</v>
      </c>
      <c r="D504" s="7" t="s">
        <v>612</v>
      </c>
      <c r="E504" s="8" t="s">
        <v>51</v>
      </c>
      <c r="F504" s="7">
        <v>1000</v>
      </c>
      <c r="G504" s="7">
        <v>1100</v>
      </c>
      <c r="H504" s="7">
        <f>(F504+G504)/2</f>
        <v>1050</v>
      </c>
      <c r="I504" s="9">
        <v>5</v>
      </c>
      <c r="J504" s="10" t="s">
        <v>65</v>
      </c>
      <c r="K504" s="8" t="s">
        <v>42</v>
      </c>
      <c r="L504" s="8" t="s">
        <v>43</v>
      </c>
      <c r="M504" s="8" t="s">
        <v>315</v>
      </c>
      <c r="N504" s="8"/>
      <c r="O504" s="8" t="s">
        <v>71</v>
      </c>
      <c r="P504" s="11">
        <v>2.9</v>
      </c>
      <c r="Q504" s="11">
        <v>2.5</v>
      </c>
      <c r="R504" s="11">
        <v>3.2</v>
      </c>
      <c r="S504" s="11">
        <f>P504*4</f>
        <v>11.6</v>
      </c>
      <c r="T504" s="11">
        <f>Q504*4</f>
        <v>10</v>
      </c>
      <c r="U504" s="11">
        <f>R504*4</f>
        <v>12.8</v>
      </c>
      <c r="V504" s="12">
        <f>(4/3)*3.14*(U504/2)^3</f>
        <v>1097.5095466666669</v>
      </c>
      <c r="W504" s="12">
        <f>V504/1000</f>
        <v>1.0975095466666669</v>
      </c>
    </row>
    <row r="505" spans="1:23" x14ac:dyDescent="0.25">
      <c r="A505" s="7">
        <v>506</v>
      </c>
      <c r="B505" s="8" t="s">
        <v>606</v>
      </c>
      <c r="C505" s="8" t="s">
        <v>631</v>
      </c>
      <c r="D505" s="7" t="s">
        <v>612</v>
      </c>
      <c r="E505" s="8" t="s">
        <v>51</v>
      </c>
      <c r="F505" s="7">
        <v>1000</v>
      </c>
      <c r="G505" s="7">
        <v>1100</v>
      </c>
      <c r="H505" s="7">
        <f>(F505+G505)/2</f>
        <v>1050</v>
      </c>
      <c r="I505" s="9">
        <v>4</v>
      </c>
      <c r="J505" s="10" t="s">
        <v>65</v>
      </c>
      <c r="K505" s="8" t="s">
        <v>42</v>
      </c>
      <c r="L505" s="8" t="s">
        <v>43</v>
      </c>
      <c r="M505" s="8" t="s">
        <v>315</v>
      </c>
      <c r="N505" s="8"/>
      <c r="O505" s="8" t="s">
        <v>71</v>
      </c>
      <c r="P505" s="11">
        <v>3</v>
      </c>
      <c r="Q505" s="11">
        <v>2.8</v>
      </c>
      <c r="R505" s="11">
        <v>3</v>
      </c>
      <c r="S505" s="11">
        <f>P505*4</f>
        <v>12</v>
      </c>
      <c r="T505" s="11">
        <f>Q505*4</f>
        <v>11.2</v>
      </c>
      <c r="U505" s="11">
        <f>R505*4</f>
        <v>12</v>
      </c>
      <c r="V505" s="12">
        <f>(2/3)*3.14*(U505/2)^3</f>
        <v>452.15999999999997</v>
      </c>
      <c r="W505" s="12">
        <f>V505/1000</f>
        <v>0.45215999999999995</v>
      </c>
    </row>
    <row r="506" spans="1:23" x14ac:dyDescent="0.25">
      <c r="A506" s="7">
        <v>507</v>
      </c>
      <c r="B506" s="8" t="s">
        <v>606</v>
      </c>
      <c r="C506" s="8" t="s">
        <v>632</v>
      </c>
      <c r="D506" s="7" t="s">
        <v>612</v>
      </c>
      <c r="E506" s="8" t="s">
        <v>51</v>
      </c>
      <c r="F506" s="7">
        <v>1000</v>
      </c>
      <c r="G506" s="7">
        <v>1100</v>
      </c>
      <c r="H506" s="7">
        <f>(F506+G506)/2</f>
        <v>1050</v>
      </c>
      <c r="I506" s="9">
        <v>4</v>
      </c>
      <c r="J506" s="10" t="s">
        <v>65</v>
      </c>
      <c r="K506" s="8" t="s">
        <v>42</v>
      </c>
      <c r="L506" s="8" t="s">
        <v>43</v>
      </c>
      <c r="M506" s="8" t="s">
        <v>315</v>
      </c>
      <c r="N506" s="8"/>
      <c r="O506" s="8" t="s">
        <v>71</v>
      </c>
      <c r="P506" s="11">
        <v>2.7</v>
      </c>
      <c r="Q506" s="11">
        <v>2.1</v>
      </c>
      <c r="R506" s="11">
        <v>2.7</v>
      </c>
      <c r="S506" s="11">
        <f>P506*4</f>
        <v>10.8</v>
      </c>
      <c r="T506" s="11">
        <f>Q506*4</f>
        <v>8.4</v>
      </c>
      <c r="U506" s="11">
        <f>R506*4</f>
        <v>10.8</v>
      </c>
      <c r="V506" s="12">
        <f>(2/3)*3.14*(U506/2)^3</f>
        <v>329.62464000000006</v>
      </c>
      <c r="W506" s="12">
        <f>V506/1000</f>
        <v>0.32962464000000008</v>
      </c>
    </row>
    <row r="507" spans="1:23" x14ac:dyDescent="0.25">
      <c r="A507" s="7">
        <v>508</v>
      </c>
      <c r="B507" s="8" t="s">
        <v>606</v>
      </c>
      <c r="C507" s="8" t="s">
        <v>633</v>
      </c>
      <c r="D507" s="7" t="s">
        <v>612</v>
      </c>
      <c r="E507" s="8" t="s">
        <v>51</v>
      </c>
      <c r="F507" s="7">
        <v>1000</v>
      </c>
      <c r="G507" s="7">
        <v>1100</v>
      </c>
      <c r="H507" s="7">
        <f>(F507+G507)/2</f>
        <v>1050</v>
      </c>
      <c r="I507" s="9">
        <v>4</v>
      </c>
      <c r="J507" s="10" t="s">
        <v>65</v>
      </c>
      <c r="K507" s="8" t="s">
        <v>42</v>
      </c>
      <c r="L507" s="8" t="s">
        <v>43</v>
      </c>
      <c r="M507" s="8" t="s">
        <v>140</v>
      </c>
      <c r="N507" s="8"/>
      <c r="O507" s="8" t="s">
        <v>71</v>
      </c>
      <c r="P507" s="11">
        <v>3.6</v>
      </c>
      <c r="Q507" s="11">
        <v>3.1</v>
      </c>
      <c r="R507" s="11">
        <v>3.6</v>
      </c>
      <c r="S507" s="11">
        <f>P507*4</f>
        <v>14.4</v>
      </c>
      <c r="T507" s="11">
        <f>Q507*4</f>
        <v>12.4</v>
      </c>
      <c r="U507" s="11">
        <f>R507*4</f>
        <v>14.4</v>
      </c>
      <c r="V507" s="12">
        <f>(2/3)*3.14*(U507/2)^3</f>
        <v>781.33248000000003</v>
      </c>
      <c r="W507" s="12">
        <f>V507/1000</f>
        <v>0.78133248</v>
      </c>
    </row>
    <row r="508" spans="1:23" x14ac:dyDescent="0.25">
      <c r="A508" s="7">
        <v>509</v>
      </c>
      <c r="B508" s="8" t="s">
        <v>606</v>
      </c>
      <c r="C508" s="8" t="s">
        <v>634</v>
      </c>
      <c r="D508" s="7" t="s">
        <v>612</v>
      </c>
      <c r="E508" s="8" t="s">
        <v>51</v>
      </c>
      <c r="F508" s="7">
        <v>1000</v>
      </c>
      <c r="G508" s="7">
        <v>1100</v>
      </c>
      <c r="H508" s="7">
        <f>(F508+G508)/2</f>
        <v>1050</v>
      </c>
      <c r="I508" s="9">
        <v>5</v>
      </c>
      <c r="J508" s="10" t="s">
        <v>65</v>
      </c>
      <c r="K508" s="8" t="s">
        <v>42</v>
      </c>
      <c r="L508" s="8" t="s">
        <v>43</v>
      </c>
      <c r="M508" s="8" t="s">
        <v>140</v>
      </c>
      <c r="N508" s="8"/>
      <c r="O508" s="8" t="s">
        <v>71</v>
      </c>
      <c r="P508" s="11">
        <v>3.5</v>
      </c>
      <c r="Q508" s="11">
        <v>2.9</v>
      </c>
      <c r="R508" s="11">
        <v>3.5</v>
      </c>
      <c r="S508" s="11">
        <f>P508*4</f>
        <v>14</v>
      </c>
      <c r="T508" s="11">
        <f>Q508*4</f>
        <v>11.6</v>
      </c>
      <c r="U508" s="11">
        <f>R508*4</f>
        <v>14</v>
      </c>
      <c r="V508" s="12">
        <f>(4/3)*3.14*(U508/2)^3</f>
        <v>1436.0266666666666</v>
      </c>
      <c r="W508" s="12">
        <f>V508/1000</f>
        <v>1.4360266666666666</v>
      </c>
    </row>
    <row r="509" spans="1:23" x14ac:dyDescent="0.25">
      <c r="A509" s="7">
        <v>510</v>
      </c>
      <c r="B509" s="8" t="s">
        <v>606</v>
      </c>
      <c r="C509" s="8" t="s">
        <v>635</v>
      </c>
      <c r="D509" s="7" t="s">
        <v>612</v>
      </c>
      <c r="E509" s="8" t="s">
        <v>51</v>
      </c>
      <c r="F509" s="7">
        <v>1000</v>
      </c>
      <c r="G509" s="7">
        <v>1100</v>
      </c>
      <c r="H509" s="7">
        <f>(F509+G509)/2</f>
        <v>1050</v>
      </c>
      <c r="I509" s="9">
        <v>4</v>
      </c>
      <c r="J509" s="10" t="s">
        <v>65</v>
      </c>
      <c r="K509" s="8" t="s">
        <v>42</v>
      </c>
      <c r="L509" s="8" t="s">
        <v>43</v>
      </c>
      <c r="M509" s="8" t="s">
        <v>140</v>
      </c>
      <c r="N509" s="8"/>
      <c r="O509" s="8" t="s">
        <v>71</v>
      </c>
      <c r="P509" s="11">
        <v>2.6</v>
      </c>
      <c r="Q509" s="11">
        <v>2.4</v>
      </c>
      <c r="R509" s="11">
        <v>2.6</v>
      </c>
      <c r="S509" s="11">
        <f>P509*4</f>
        <v>10.4</v>
      </c>
      <c r="T509" s="11">
        <f>Q509*4</f>
        <v>9.6</v>
      </c>
      <c r="U509" s="11">
        <f>R509*4</f>
        <v>10.4</v>
      </c>
      <c r="V509" s="12">
        <f>(2/3)*3.14*(U509/2)^3</f>
        <v>294.33941333333337</v>
      </c>
      <c r="W509" s="12">
        <f>V509/1000</f>
        <v>0.29433941333333336</v>
      </c>
    </row>
    <row r="510" spans="1:23" x14ac:dyDescent="0.25">
      <c r="A510" s="7">
        <v>511</v>
      </c>
      <c r="B510" s="8" t="s">
        <v>606</v>
      </c>
      <c r="C510" s="8" t="s">
        <v>636</v>
      </c>
      <c r="D510" s="7" t="s">
        <v>612</v>
      </c>
      <c r="E510" s="8" t="s">
        <v>51</v>
      </c>
      <c r="F510" s="7">
        <v>1000</v>
      </c>
      <c r="G510" s="7">
        <v>1100</v>
      </c>
      <c r="H510" s="7">
        <f>(F510+G510)/2</f>
        <v>1050</v>
      </c>
      <c r="I510" s="9">
        <v>2</v>
      </c>
      <c r="J510" s="10" t="s">
        <v>65</v>
      </c>
      <c r="K510" s="8" t="s">
        <v>108</v>
      </c>
      <c r="L510" s="8" t="s">
        <v>109</v>
      </c>
      <c r="M510" s="8" t="s">
        <v>315</v>
      </c>
      <c r="N510" s="8"/>
      <c r="O510" s="8" t="s">
        <v>71</v>
      </c>
      <c r="P510" s="11">
        <v>3.5</v>
      </c>
      <c r="Q510" s="11">
        <v>2.7</v>
      </c>
      <c r="R510" s="11">
        <v>3.5</v>
      </c>
      <c r="S510" s="11">
        <f>P510*4</f>
        <v>14</v>
      </c>
      <c r="T510" s="11">
        <f>Q510*4</f>
        <v>10.8</v>
      </c>
      <c r="U510" s="11">
        <f>R510*4</f>
        <v>14</v>
      </c>
      <c r="V510" s="12">
        <f>(1/3)*3.14*T510^2*(3*(U510/2)-T510)</f>
        <v>1245.24864</v>
      </c>
      <c r="W510" s="12">
        <f>V510/1000</f>
        <v>1.24524864</v>
      </c>
    </row>
    <row r="511" spans="1:23" x14ac:dyDescent="0.25">
      <c r="A511" s="7">
        <v>512</v>
      </c>
      <c r="B511" s="8" t="s">
        <v>606</v>
      </c>
      <c r="C511" s="8" t="s">
        <v>637</v>
      </c>
      <c r="D511" s="7" t="s">
        <v>612</v>
      </c>
      <c r="E511" s="8" t="s">
        <v>51</v>
      </c>
      <c r="F511" s="7">
        <v>1000</v>
      </c>
      <c r="G511" s="7">
        <v>1100</v>
      </c>
      <c r="H511" s="7">
        <f>(F511+G511)/2</f>
        <v>1050</v>
      </c>
      <c r="I511" s="9">
        <v>4</v>
      </c>
      <c r="J511" s="10" t="s">
        <v>65</v>
      </c>
      <c r="K511" s="8" t="s">
        <v>108</v>
      </c>
      <c r="L511" s="8" t="s">
        <v>109</v>
      </c>
      <c r="M511" s="8" t="s">
        <v>315</v>
      </c>
      <c r="N511" s="8"/>
      <c r="O511" s="8" t="s">
        <v>71</v>
      </c>
      <c r="P511" s="11">
        <v>2.5</v>
      </c>
      <c r="Q511" s="11">
        <v>2.4</v>
      </c>
      <c r="R511" s="11">
        <v>2.5</v>
      </c>
      <c r="S511" s="11">
        <f>P511*4</f>
        <v>10</v>
      </c>
      <c r="T511" s="11">
        <f>Q511*4</f>
        <v>9.6</v>
      </c>
      <c r="U511" s="11">
        <f>R511*4</f>
        <v>10</v>
      </c>
      <c r="V511" s="12">
        <f>(2/3)*3.14*(U511/2)^3</f>
        <v>261.66666666666669</v>
      </c>
      <c r="W511" s="12">
        <f>V511/1000</f>
        <v>0.26166666666666666</v>
      </c>
    </row>
    <row r="512" spans="1:23" x14ac:dyDescent="0.25">
      <c r="A512" s="7">
        <v>513</v>
      </c>
      <c r="B512" s="8" t="s">
        <v>606</v>
      </c>
      <c r="C512" s="8" t="s">
        <v>638</v>
      </c>
      <c r="D512" s="7" t="s">
        <v>612</v>
      </c>
      <c r="E512" s="8" t="s">
        <v>51</v>
      </c>
      <c r="F512" s="7">
        <v>1000</v>
      </c>
      <c r="G512" s="7">
        <v>1100</v>
      </c>
      <c r="H512" s="7">
        <f>(F512+G512)/2</f>
        <v>1050</v>
      </c>
      <c r="I512" s="9">
        <v>4</v>
      </c>
      <c r="J512" s="10" t="s">
        <v>65</v>
      </c>
      <c r="K512" s="8" t="s">
        <v>42</v>
      </c>
      <c r="L512" s="8" t="s">
        <v>43</v>
      </c>
      <c r="M512" s="8" t="s">
        <v>315</v>
      </c>
      <c r="N512" s="8"/>
      <c r="O512" s="8" t="s">
        <v>71</v>
      </c>
      <c r="P512" s="11">
        <v>2.9</v>
      </c>
      <c r="Q512" s="11">
        <v>2.8</v>
      </c>
      <c r="R512" s="11">
        <v>2.9</v>
      </c>
      <c r="S512" s="11">
        <f>P512*4</f>
        <v>11.6</v>
      </c>
      <c r="T512" s="11">
        <f>Q512*4</f>
        <v>11.2</v>
      </c>
      <c r="U512" s="11">
        <f>R512*4</f>
        <v>11.6</v>
      </c>
      <c r="V512" s="12">
        <f>(2/3)*3.14*(U512/2)^3</f>
        <v>408.43445333333329</v>
      </c>
      <c r="W512" s="12">
        <f>V512/1000</f>
        <v>0.40843445333333328</v>
      </c>
    </row>
    <row r="513" spans="1:23" x14ac:dyDescent="0.25">
      <c r="A513" s="7">
        <v>514</v>
      </c>
      <c r="B513" s="8" t="s">
        <v>606</v>
      </c>
      <c r="C513" s="8" t="s">
        <v>639</v>
      </c>
      <c r="D513" s="7" t="s">
        <v>612</v>
      </c>
      <c r="E513" s="8" t="s">
        <v>51</v>
      </c>
      <c r="F513" s="7">
        <v>1000</v>
      </c>
      <c r="G513" s="7">
        <v>1100</v>
      </c>
      <c r="H513" s="7">
        <f>(F513+G513)/2</f>
        <v>1050</v>
      </c>
      <c r="I513" s="9">
        <v>4</v>
      </c>
      <c r="J513" s="10" t="s">
        <v>65</v>
      </c>
      <c r="K513" s="8" t="s">
        <v>42</v>
      </c>
      <c r="L513" s="8" t="s">
        <v>43</v>
      </c>
      <c r="M513" s="8" t="s">
        <v>315</v>
      </c>
      <c r="N513" s="8"/>
      <c r="O513" s="8" t="s">
        <v>71</v>
      </c>
      <c r="P513" s="11">
        <v>2.8</v>
      </c>
      <c r="Q513" s="11">
        <v>2.8</v>
      </c>
      <c r="R513" s="11">
        <v>2.8</v>
      </c>
      <c r="S513" s="11">
        <f>P513*4</f>
        <v>11.2</v>
      </c>
      <c r="T513" s="11">
        <f>Q513*4</f>
        <v>11.2</v>
      </c>
      <c r="U513" s="11">
        <f>R513*4</f>
        <v>11.2</v>
      </c>
      <c r="V513" s="12">
        <f>(2/3)*3.14*(U513/2)^3</f>
        <v>367.62282666666658</v>
      </c>
      <c r="W513" s="12">
        <f>V513/1000</f>
        <v>0.36762282666666657</v>
      </c>
    </row>
    <row r="514" spans="1:23" x14ac:dyDescent="0.25">
      <c r="A514" s="7">
        <v>515</v>
      </c>
      <c r="B514" s="8" t="s">
        <v>606</v>
      </c>
      <c r="C514" s="8" t="s">
        <v>640</v>
      </c>
      <c r="D514" s="7" t="s">
        <v>641</v>
      </c>
      <c r="E514" s="8" t="s">
        <v>51</v>
      </c>
      <c r="F514" s="7">
        <v>1000</v>
      </c>
      <c r="G514" s="7">
        <v>1500</v>
      </c>
      <c r="H514" s="7">
        <f>(F514+G514)/2</f>
        <v>1250</v>
      </c>
      <c r="I514" s="9">
        <v>5</v>
      </c>
      <c r="J514" s="10" t="s">
        <v>65</v>
      </c>
      <c r="K514" s="8" t="s">
        <v>42</v>
      </c>
      <c r="L514" s="8" t="s">
        <v>43</v>
      </c>
      <c r="M514" s="8" t="s">
        <v>140</v>
      </c>
      <c r="N514" s="8"/>
      <c r="O514" s="8" t="s">
        <v>71</v>
      </c>
      <c r="P514" s="11">
        <v>2.8</v>
      </c>
      <c r="Q514" s="11">
        <v>2.5</v>
      </c>
      <c r="R514" s="11">
        <v>3.1</v>
      </c>
      <c r="S514" s="11">
        <f>P514*4</f>
        <v>11.2</v>
      </c>
      <c r="T514" s="11">
        <f>Q514*4</f>
        <v>10</v>
      </c>
      <c r="U514" s="11">
        <f>R514*4</f>
        <v>12.4</v>
      </c>
      <c r="V514" s="12">
        <f>(4/3)*3.14*(U514/2)^3</f>
        <v>997.79989333333344</v>
      </c>
      <c r="W514" s="12">
        <f>V514/1000</f>
        <v>0.99779989333333341</v>
      </c>
    </row>
    <row r="515" spans="1:23" x14ac:dyDescent="0.25">
      <c r="A515" s="7">
        <v>516</v>
      </c>
      <c r="B515" s="8" t="s">
        <v>606</v>
      </c>
      <c r="C515" s="8" t="s">
        <v>642</v>
      </c>
      <c r="D515" s="7" t="s">
        <v>641</v>
      </c>
      <c r="E515" s="8" t="s">
        <v>51</v>
      </c>
      <c r="F515" s="7">
        <v>1000</v>
      </c>
      <c r="G515" s="7">
        <v>1500</v>
      </c>
      <c r="H515" s="7">
        <f>(F515+G515)/2</f>
        <v>1250</v>
      </c>
      <c r="I515" s="9">
        <v>4</v>
      </c>
      <c r="J515" s="10" t="s">
        <v>65</v>
      </c>
      <c r="K515" s="8" t="s">
        <v>42</v>
      </c>
      <c r="L515" s="8" t="s">
        <v>43</v>
      </c>
      <c r="M515" s="8" t="s">
        <v>140</v>
      </c>
      <c r="N515" s="8"/>
      <c r="O515" s="8" t="s">
        <v>71</v>
      </c>
      <c r="P515" s="11">
        <v>2.8</v>
      </c>
      <c r="Q515" s="11">
        <v>2.6</v>
      </c>
      <c r="R515" s="11">
        <v>2.8</v>
      </c>
      <c r="S515" s="11">
        <f>P515*4</f>
        <v>11.2</v>
      </c>
      <c r="T515" s="11">
        <f>Q515*4</f>
        <v>10.4</v>
      </c>
      <c r="U515" s="11">
        <f>R515*4</f>
        <v>11.2</v>
      </c>
      <c r="V515" s="12">
        <f>(2/3)*3.14*(U515/2)^3</f>
        <v>367.62282666666658</v>
      </c>
      <c r="W515" s="12">
        <f>V515/1000</f>
        <v>0.36762282666666657</v>
      </c>
    </row>
    <row r="516" spans="1:23" x14ac:dyDescent="0.25">
      <c r="A516" s="7">
        <v>517</v>
      </c>
      <c r="B516" s="8" t="s">
        <v>606</v>
      </c>
      <c r="C516" s="8" t="s">
        <v>643</v>
      </c>
      <c r="D516" s="7" t="s">
        <v>641</v>
      </c>
      <c r="E516" s="8" t="s">
        <v>51</v>
      </c>
      <c r="F516" s="7">
        <v>1000</v>
      </c>
      <c r="G516" s="7">
        <v>1500</v>
      </c>
      <c r="H516" s="7">
        <f>(F516+G516)/2</f>
        <v>1250</v>
      </c>
      <c r="I516" s="9">
        <v>4</v>
      </c>
      <c r="J516" s="10" t="s">
        <v>65</v>
      </c>
      <c r="K516" s="8" t="s">
        <v>42</v>
      </c>
      <c r="L516" s="8" t="s">
        <v>43</v>
      </c>
      <c r="M516" s="8" t="s">
        <v>140</v>
      </c>
      <c r="N516" s="8"/>
      <c r="O516" s="8" t="s">
        <v>71</v>
      </c>
      <c r="P516" s="11">
        <v>3.2</v>
      </c>
      <c r="Q516" s="11">
        <v>2.5</v>
      </c>
      <c r="R516" s="11">
        <v>3.2</v>
      </c>
      <c r="S516" s="11">
        <f>P516*4</f>
        <v>12.8</v>
      </c>
      <c r="T516" s="11">
        <f>Q516*4</f>
        <v>10</v>
      </c>
      <c r="U516" s="11">
        <f>R516*4</f>
        <v>12.8</v>
      </c>
      <c r="V516" s="12">
        <f>(2/3)*3.14*(U516/2)^3</f>
        <v>548.75477333333345</v>
      </c>
      <c r="W516" s="12">
        <f>V516/1000</f>
        <v>0.54875477333333345</v>
      </c>
    </row>
    <row r="517" spans="1:23" x14ac:dyDescent="0.25">
      <c r="A517" s="7">
        <v>518</v>
      </c>
      <c r="B517" s="8" t="s">
        <v>606</v>
      </c>
      <c r="C517" s="8" t="s">
        <v>644</v>
      </c>
      <c r="D517" s="7" t="s">
        <v>641</v>
      </c>
      <c r="E517" s="8" t="s">
        <v>51</v>
      </c>
      <c r="F517" s="7">
        <v>1000</v>
      </c>
      <c r="G517" s="7">
        <v>1500</v>
      </c>
      <c r="H517" s="7">
        <f>(F517+G517)/2</f>
        <v>1250</v>
      </c>
      <c r="I517" s="9">
        <v>5</v>
      </c>
      <c r="J517" s="10" t="s">
        <v>65</v>
      </c>
      <c r="K517" s="8" t="s">
        <v>42</v>
      </c>
      <c r="L517" s="8" t="s">
        <v>43</v>
      </c>
      <c r="M517" s="8" t="s">
        <v>140</v>
      </c>
      <c r="N517" s="8"/>
      <c r="O517" s="8" t="s">
        <v>71</v>
      </c>
      <c r="P517" s="11">
        <v>2.7</v>
      </c>
      <c r="Q517" s="11">
        <v>2.1</v>
      </c>
      <c r="R517" s="11">
        <v>3</v>
      </c>
      <c r="S517" s="11">
        <f>P517*4</f>
        <v>10.8</v>
      </c>
      <c r="T517" s="11">
        <f>Q517*4</f>
        <v>8.4</v>
      </c>
      <c r="U517" s="11">
        <f>R517*4</f>
        <v>12</v>
      </c>
      <c r="V517" s="12">
        <f>(4/3)*3.14*(U517/2)^3</f>
        <v>904.31999999999994</v>
      </c>
      <c r="W517" s="12">
        <f>V517/1000</f>
        <v>0.9043199999999999</v>
      </c>
    </row>
    <row r="518" spans="1:23" x14ac:dyDescent="0.25">
      <c r="A518" s="7">
        <v>519</v>
      </c>
      <c r="B518" s="8" t="s">
        <v>606</v>
      </c>
      <c r="C518" s="8" t="s">
        <v>645</v>
      </c>
      <c r="D518" s="7" t="s">
        <v>641</v>
      </c>
      <c r="E518" s="8" t="s">
        <v>51</v>
      </c>
      <c r="F518" s="7">
        <v>1000</v>
      </c>
      <c r="G518" s="7">
        <v>1500</v>
      </c>
      <c r="H518" s="7">
        <f>(F518+G518)/2</f>
        <v>1250</v>
      </c>
      <c r="I518" s="9">
        <v>5</v>
      </c>
      <c r="J518" s="10" t="s">
        <v>65</v>
      </c>
      <c r="K518" s="8" t="s">
        <v>42</v>
      </c>
      <c r="L518" s="8" t="s">
        <v>43</v>
      </c>
      <c r="M518" s="8" t="s">
        <v>140</v>
      </c>
      <c r="N518" s="8"/>
      <c r="O518" s="8" t="s">
        <v>71</v>
      </c>
      <c r="P518" s="11">
        <v>2.8</v>
      </c>
      <c r="Q518" s="11">
        <v>2.5</v>
      </c>
      <c r="R518" s="11">
        <v>3.1</v>
      </c>
      <c r="S518" s="11">
        <f>P518*4</f>
        <v>11.2</v>
      </c>
      <c r="T518" s="11">
        <f>Q518*4</f>
        <v>10</v>
      </c>
      <c r="U518" s="11">
        <f>R518*4</f>
        <v>12.4</v>
      </c>
      <c r="V518" s="12">
        <f>(4/3)*3.14*(U518/2)^3</f>
        <v>997.79989333333344</v>
      </c>
      <c r="W518" s="12">
        <f>V518/1000</f>
        <v>0.99779989333333341</v>
      </c>
    </row>
    <row r="519" spans="1:23" x14ac:dyDescent="0.25">
      <c r="A519" s="7">
        <v>520</v>
      </c>
      <c r="B519" s="8" t="s">
        <v>606</v>
      </c>
      <c r="C519" s="8" t="s">
        <v>646</v>
      </c>
      <c r="D519" s="7" t="s">
        <v>641</v>
      </c>
      <c r="E519" s="8" t="s">
        <v>51</v>
      </c>
      <c r="F519" s="7">
        <v>1000</v>
      </c>
      <c r="G519" s="7">
        <v>1500</v>
      </c>
      <c r="H519" s="7">
        <f>(F519+G519)/2</f>
        <v>1250</v>
      </c>
      <c r="I519" s="9">
        <v>5</v>
      </c>
      <c r="J519" s="10" t="s">
        <v>65</v>
      </c>
      <c r="K519" s="8" t="s">
        <v>42</v>
      </c>
      <c r="L519" s="8" t="s">
        <v>43</v>
      </c>
      <c r="M519" s="8" t="s">
        <v>140</v>
      </c>
      <c r="N519" s="8"/>
      <c r="O519" s="8" t="s">
        <v>71</v>
      </c>
      <c r="P519" s="11">
        <v>2.8</v>
      </c>
      <c r="Q519" s="11">
        <v>2.4</v>
      </c>
      <c r="R519" s="11">
        <v>3.2</v>
      </c>
      <c r="S519" s="11">
        <f>P519*4</f>
        <v>11.2</v>
      </c>
      <c r="T519" s="11">
        <f>Q519*4</f>
        <v>9.6</v>
      </c>
      <c r="U519" s="11">
        <f>R519*4</f>
        <v>12.8</v>
      </c>
      <c r="V519" s="12">
        <f>(4/3)*3.14*(U519/2)^3</f>
        <v>1097.5095466666669</v>
      </c>
      <c r="W519" s="12">
        <f>V519/1000</f>
        <v>1.0975095466666669</v>
      </c>
    </row>
    <row r="520" spans="1:23" x14ac:dyDescent="0.25">
      <c r="A520" s="7">
        <v>521</v>
      </c>
      <c r="B520" s="8" t="s">
        <v>606</v>
      </c>
      <c r="C520" s="8" t="s">
        <v>647</v>
      </c>
      <c r="D520" s="7" t="s">
        <v>641</v>
      </c>
      <c r="E520" s="8" t="s">
        <v>51</v>
      </c>
      <c r="F520" s="7">
        <v>1000</v>
      </c>
      <c r="G520" s="7">
        <v>1500</v>
      </c>
      <c r="H520" s="7">
        <f>(F520+G520)/2</f>
        <v>1250</v>
      </c>
      <c r="I520" s="9">
        <v>5</v>
      </c>
      <c r="J520" s="10" t="s">
        <v>65</v>
      </c>
      <c r="K520" s="8" t="s">
        <v>42</v>
      </c>
      <c r="L520" s="8" t="s">
        <v>43</v>
      </c>
      <c r="M520" s="8" t="s">
        <v>140</v>
      </c>
      <c r="N520" s="8"/>
      <c r="O520" s="8" t="s">
        <v>71</v>
      </c>
      <c r="P520" s="11">
        <v>2.6</v>
      </c>
      <c r="Q520" s="11">
        <v>2.2999999999999998</v>
      </c>
      <c r="R520" s="11">
        <v>3.1</v>
      </c>
      <c r="S520" s="11">
        <f>P520*4</f>
        <v>10.4</v>
      </c>
      <c r="T520" s="11">
        <f>Q520*4</f>
        <v>9.1999999999999993</v>
      </c>
      <c r="U520" s="11">
        <f>R520*4</f>
        <v>12.4</v>
      </c>
      <c r="V520" s="12">
        <f>(4/3)*3.14*(U520/2)^3</f>
        <v>997.79989333333344</v>
      </c>
      <c r="W520" s="12">
        <f>V520/1000</f>
        <v>0.99779989333333341</v>
      </c>
    </row>
    <row r="521" spans="1:23" x14ac:dyDescent="0.25">
      <c r="A521" s="7">
        <v>522</v>
      </c>
      <c r="B521" s="8" t="s">
        <v>606</v>
      </c>
      <c r="C521" s="8" t="s">
        <v>648</v>
      </c>
      <c r="D521" s="7" t="s">
        <v>641</v>
      </c>
      <c r="E521" s="8" t="s">
        <v>51</v>
      </c>
      <c r="F521" s="7">
        <v>1000</v>
      </c>
      <c r="G521" s="7">
        <v>1500</v>
      </c>
      <c r="H521" s="7">
        <f>(F521+G521)/2</f>
        <v>1250</v>
      </c>
      <c r="I521" s="9">
        <v>5</v>
      </c>
      <c r="J521" s="10" t="s">
        <v>65</v>
      </c>
      <c r="K521" s="8" t="s">
        <v>42</v>
      </c>
      <c r="L521" s="8" t="s">
        <v>43</v>
      </c>
      <c r="M521" s="8" t="s">
        <v>140</v>
      </c>
      <c r="N521" s="8"/>
      <c r="O521" s="8" t="s">
        <v>71</v>
      </c>
      <c r="P521" s="11">
        <v>2.9</v>
      </c>
      <c r="Q521" s="11">
        <v>2.2999999999999998</v>
      </c>
      <c r="R521" s="11">
        <v>3.2</v>
      </c>
      <c r="S521" s="11">
        <f>P521*4</f>
        <v>11.6</v>
      </c>
      <c r="T521" s="11">
        <f>Q521*4</f>
        <v>9.1999999999999993</v>
      </c>
      <c r="U521" s="11">
        <f>R521*4</f>
        <v>12.8</v>
      </c>
      <c r="V521" s="12">
        <f>(4/3)*3.14*(U521/2)^3</f>
        <v>1097.5095466666669</v>
      </c>
      <c r="W521" s="12">
        <f>V521/1000</f>
        <v>1.0975095466666669</v>
      </c>
    </row>
    <row r="522" spans="1:23" x14ac:dyDescent="0.25">
      <c r="A522" s="7">
        <v>523</v>
      </c>
      <c r="B522" s="8" t="s">
        <v>606</v>
      </c>
      <c r="C522" s="8" t="s">
        <v>649</v>
      </c>
      <c r="D522" s="7" t="s">
        <v>641</v>
      </c>
      <c r="E522" s="8" t="s">
        <v>51</v>
      </c>
      <c r="F522" s="7">
        <v>1000</v>
      </c>
      <c r="G522" s="7">
        <v>1500</v>
      </c>
      <c r="H522" s="7">
        <f>(F522+G522)/2</f>
        <v>1250</v>
      </c>
      <c r="I522" s="9">
        <v>5</v>
      </c>
      <c r="J522" s="10" t="s">
        <v>65</v>
      </c>
      <c r="K522" s="8" t="s">
        <v>157</v>
      </c>
      <c r="L522" s="8" t="s">
        <v>38</v>
      </c>
      <c r="M522" s="8" t="s">
        <v>140</v>
      </c>
      <c r="N522" s="8"/>
      <c r="O522" s="8" t="s">
        <v>71</v>
      </c>
      <c r="P522" s="11">
        <v>2.6</v>
      </c>
      <c r="Q522" s="11">
        <v>2.4</v>
      </c>
      <c r="R522" s="11">
        <v>3</v>
      </c>
      <c r="S522" s="11">
        <f>P522*4</f>
        <v>10.4</v>
      </c>
      <c r="T522" s="11">
        <f>Q522*4</f>
        <v>9.6</v>
      </c>
      <c r="U522" s="11">
        <f>R522*4</f>
        <v>12</v>
      </c>
      <c r="V522" s="12">
        <f>(4/3)*3.14*(U522/2)^3</f>
        <v>904.31999999999994</v>
      </c>
      <c r="W522" s="12">
        <f>V522/1000</f>
        <v>0.9043199999999999</v>
      </c>
    </row>
    <row r="523" spans="1:23" x14ac:dyDescent="0.25">
      <c r="A523" s="7">
        <v>524</v>
      </c>
      <c r="B523" s="8" t="s">
        <v>606</v>
      </c>
      <c r="C523" s="8" t="s">
        <v>650</v>
      </c>
      <c r="D523" s="7" t="s">
        <v>641</v>
      </c>
      <c r="E523" s="8" t="s">
        <v>51</v>
      </c>
      <c r="F523" s="7">
        <v>1000</v>
      </c>
      <c r="G523" s="7">
        <v>1500</v>
      </c>
      <c r="H523" s="7">
        <f>(F523+G523)/2</f>
        <v>1250</v>
      </c>
      <c r="I523" s="9">
        <v>5</v>
      </c>
      <c r="J523" s="10" t="s">
        <v>65</v>
      </c>
      <c r="K523" s="8" t="s">
        <v>157</v>
      </c>
      <c r="L523" s="8" t="s">
        <v>38</v>
      </c>
      <c r="M523" s="8" t="s">
        <v>140</v>
      </c>
      <c r="N523" s="8"/>
      <c r="O523" s="8" t="s">
        <v>71</v>
      </c>
      <c r="P523" s="11">
        <v>2.7</v>
      </c>
      <c r="Q523" s="11">
        <v>2.4</v>
      </c>
      <c r="R523" s="11">
        <v>3.2</v>
      </c>
      <c r="S523" s="11">
        <f>P523*4</f>
        <v>10.8</v>
      </c>
      <c r="T523" s="11">
        <f>Q523*4</f>
        <v>9.6</v>
      </c>
      <c r="U523" s="11">
        <f>R523*4</f>
        <v>12.8</v>
      </c>
      <c r="V523" s="12">
        <f>(4/3)*3.14*(U523/2)^3</f>
        <v>1097.5095466666669</v>
      </c>
      <c r="W523" s="12">
        <f>V523/1000</f>
        <v>1.0975095466666669</v>
      </c>
    </row>
    <row r="524" spans="1:23" x14ac:dyDescent="0.25">
      <c r="A524" s="7">
        <v>525</v>
      </c>
      <c r="B524" s="8" t="s">
        <v>606</v>
      </c>
      <c r="C524" s="8" t="s">
        <v>651</v>
      </c>
      <c r="D524" s="7" t="s">
        <v>641</v>
      </c>
      <c r="E524" s="8" t="s">
        <v>51</v>
      </c>
      <c r="F524" s="7">
        <v>1000</v>
      </c>
      <c r="G524" s="7">
        <v>1500</v>
      </c>
      <c r="H524" s="7">
        <f>(F524+G524)/2</f>
        <v>1250</v>
      </c>
      <c r="I524" s="9">
        <v>5</v>
      </c>
      <c r="J524" s="10" t="s">
        <v>65</v>
      </c>
      <c r="K524" s="8" t="s">
        <v>157</v>
      </c>
      <c r="L524" s="8" t="s">
        <v>38</v>
      </c>
      <c r="M524" s="8" t="s">
        <v>140</v>
      </c>
      <c r="N524" s="8"/>
      <c r="O524" s="8" t="s">
        <v>71</v>
      </c>
      <c r="P524" s="11">
        <v>3</v>
      </c>
      <c r="Q524" s="11">
        <v>2.6</v>
      </c>
      <c r="R524" s="11">
        <v>3.5</v>
      </c>
      <c r="S524" s="11">
        <f>P524*4</f>
        <v>12</v>
      </c>
      <c r="T524" s="11">
        <f>Q524*4</f>
        <v>10.4</v>
      </c>
      <c r="U524" s="11">
        <f>R524*4</f>
        <v>14</v>
      </c>
      <c r="V524" s="12">
        <f>(4/3)*3.14*(U524/2)^3</f>
        <v>1436.0266666666666</v>
      </c>
      <c r="W524" s="12">
        <f>V524/1000</f>
        <v>1.4360266666666666</v>
      </c>
    </row>
    <row r="525" spans="1:23" x14ac:dyDescent="0.25">
      <c r="A525" s="7">
        <v>526</v>
      </c>
      <c r="B525" s="8" t="s">
        <v>606</v>
      </c>
      <c r="C525" s="8" t="s">
        <v>652</v>
      </c>
      <c r="D525" s="7" t="s">
        <v>641</v>
      </c>
      <c r="E525" s="8" t="s">
        <v>51</v>
      </c>
      <c r="F525" s="7">
        <v>1000</v>
      </c>
      <c r="G525" s="7">
        <v>1500</v>
      </c>
      <c r="H525" s="7">
        <f>(F525+G525)/2</f>
        <v>1250</v>
      </c>
      <c r="I525" s="9">
        <v>5</v>
      </c>
      <c r="J525" s="10" t="s">
        <v>65</v>
      </c>
      <c r="K525" s="8" t="s">
        <v>42</v>
      </c>
      <c r="L525" s="8" t="s">
        <v>43</v>
      </c>
      <c r="M525" s="8" t="s">
        <v>140</v>
      </c>
      <c r="N525" s="8"/>
      <c r="O525" s="8" t="s">
        <v>71</v>
      </c>
      <c r="P525" s="11">
        <v>2.4</v>
      </c>
      <c r="Q525" s="11">
        <v>2.5</v>
      </c>
      <c r="R525" s="11">
        <v>3.2</v>
      </c>
      <c r="S525" s="11">
        <f>P525*4</f>
        <v>9.6</v>
      </c>
      <c r="T525" s="11">
        <f>Q525*4</f>
        <v>10</v>
      </c>
      <c r="U525" s="11">
        <f>R525*4</f>
        <v>12.8</v>
      </c>
      <c r="V525" s="12">
        <f>(4/3)*3.14*(U525/2)^3</f>
        <v>1097.5095466666669</v>
      </c>
      <c r="W525" s="12">
        <f>V525/1000</f>
        <v>1.0975095466666669</v>
      </c>
    </row>
    <row r="526" spans="1:23" x14ac:dyDescent="0.25">
      <c r="A526" s="7">
        <v>527</v>
      </c>
      <c r="B526" s="8" t="s">
        <v>606</v>
      </c>
      <c r="C526" s="8" t="s">
        <v>653</v>
      </c>
      <c r="D526" s="7" t="s">
        <v>641</v>
      </c>
      <c r="E526" s="8" t="s">
        <v>51</v>
      </c>
      <c r="F526" s="7">
        <v>1000</v>
      </c>
      <c r="G526" s="7">
        <v>1500</v>
      </c>
      <c r="H526" s="7">
        <f>(F526+G526)/2</f>
        <v>1250</v>
      </c>
      <c r="I526" s="9">
        <v>5</v>
      </c>
      <c r="J526" s="10" t="s">
        <v>65</v>
      </c>
      <c r="K526" s="8" t="s">
        <v>42</v>
      </c>
      <c r="L526" s="8" t="s">
        <v>43</v>
      </c>
      <c r="M526" s="8" t="s">
        <v>315</v>
      </c>
      <c r="N526" s="8"/>
      <c r="O526" s="8" t="s">
        <v>44</v>
      </c>
      <c r="P526" s="11">
        <v>2.8</v>
      </c>
      <c r="Q526" s="11">
        <v>0</v>
      </c>
      <c r="R526" s="11">
        <v>3.5</v>
      </c>
      <c r="S526" s="11">
        <f>P526*4</f>
        <v>11.2</v>
      </c>
      <c r="T526" s="11">
        <f>Q526*4</f>
        <v>0</v>
      </c>
      <c r="U526" s="11">
        <f>R526*4</f>
        <v>14</v>
      </c>
      <c r="V526" s="12">
        <f>(4/3)*3.14*(U526/2)^3</f>
        <v>1436.0266666666666</v>
      </c>
      <c r="W526" s="12">
        <f>V526/1000</f>
        <v>1.4360266666666666</v>
      </c>
    </row>
    <row r="527" spans="1:23" x14ac:dyDescent="0.25">
      <c r="A527" s="7">
        <v>528</v>
      </c>
      <c r="B527" s="8" t="s">
        <v>606</v>
      </c>
      <c r="C527" s="8" t="s">
        <v>654</v>
      </c>
      <c r="D527" s="7" t="s">
        <v>641</v>
      </c>
      <c r="E527" s="8" t="s">
        <v>51</v>
      </c>
      <c r="F527" s="7">
        <v>1000</v>
      </c>
      <c r="G527" s="7">
        <v>1500</v>
      </c>
      <c r="H527" s="7">
        <f>(F527+G527)/2</f>
        <v>1250</v>
      </c>
      <c r="I527" s="9">
        <v>5</v>
      </c>
      <c r="J527" s="10" t="s">
        <v>65</v>
      </c>
      <c r="K527" s="8" t="s">
        <v>27</v>
      </c>
      <c r="L527" s="8" t="s">
        <v>28</v>
      </c>
      <c r="M527" s="8" t="s">
        <v>655</v>
      </c>
      <c r="N527" s="8"/>
      <c r="O527" s="8" t="s">
        <v>29</v>
      </c>
      <c r="P527" s="11">
        <v>2.5</v>
      </c>
      <c r="Q527" s="11">
        <v>2.7</v>
      </c>
      <c r="R527" s="11">
        <v>3.3</v>
      </c>
      <c r="S527" s="11">
        <f>P527*4</f>
        <v>10</v>
      </c>
      <c r="T527" s="11">
        <f>Q527*4</f>
        <v>10.8</v>
      </c>
      <c r="U527" s="11">
        <f>R527*4</f>
        <v>13.2</v>
      </c>
      <c r="V527" s="12">
        <f>(4/3)*3.14*(U527/2)^3</f>
        <v>1203.6499199999998</v>
      </c>
      <c r="W527" s="12">
        <f>V527/1000</f>
        <v>1.2036499199999999</v>
      </c>
    </row>
    <row r="528" spans="1:23" x14ac:dyDescent="0.25">
      <c r="A528" s="7">
        <v>529</v>
      </c>
      <c r="B528" s="8" t="s">
        <v>606</v>
      </c>
      <c r="C528" s="8" t="s">
        <v>656</v>
      </c>
      <c r="D528" s="7" t="s">
        <v>641</v>
      </c>
      <c r="E528" s="8" t="s">
        <v>51</v>
      </c>
      <c r="F528" s="7">
        <v>1000</v>
      </c>
      <c r="G528" s="7">
        <v>1500</v>
      </c>
      <c r="H528" s="7">
        <f>(F528+G528)/2</f>
        <v>1250</v>
      </c>
      <c r="I528" s="9">
        <v>5</v>
      </c>
      <c r="J528" s="10" t="s">
        <v>65</v>
      </c>
      <c r="K528" s="8" t="s">
        <v>42</v>
      </c>
      <c r="L528" s="8" t="s">
        <v>43</v>
      </c>
      <c r="M528" s="8" t="s">
        <v>655</v>
      </c>
      <c r="N528" s="8"/>
      <c r="O528" s="8" t="s">
        <v>71</v>
      </c>
      <c r="P528" s="11">
        <v>2.5</v>
      </c>
      <c r="Q528" s="11">
        <v>2.6</v>
      </c>
      <c r="R528" s="11">
        <v>3</v>
      </c>
      <c r="S528" s="11">
        <f>P528*4</f>
        <v>10</v>
      </c>
      <c r="T528" s="11">
        <f>Q528*4</f>
        <v>10.4</v>
      </c>
      <c r="U528" s="11">
        <f>R528*4</f>
        <v>12</v>
      </c>
      <c r="V528" s="12">
        <f>(4/3)*3.14*(U528/2)^3</f>
        <v>904.31999999999994</v>
      </c>
      <c r="W528" s="12">
        <f>V528/1000</f>
        <v>0.9043199999999999</v>
      </c>
    </row>
    <row r="529" spans="1:23" x14ac:dyDescent="0.25">
      <c r="A529" s="7">
        <v>530</v>
      </c>
      <c r="B529" s="8" t="s">
        <v>606</v>
      </c>
      <c r="C529" s="8" t="s">
        <v>657</v>
      </c>
      <c r="D529" s="7" t="s">
        <v>641</v>
      </c>
      <c r="E529" s="8" t="s">
        <v>51</v>
      </c>
      <c r="F529" s="7">
        <v>1000</v>
      </c>
      <c r="G529" s="7">
        <v>1500</v>
      </c>
      <c r="H529" s="7">
        <f>(F529+G529)/2</f>
        <v>1250</v>
      </c>
      <c r="I529" s="9">
        <v>5</v>
      </c>
      <c r="J529" s="10" t="s">
        <v>65</v>
      </c>
      <c r="K529" s="8" t="s">
        <v>101</v>
      </c>
      <c r="L529" s="8" t="s">
        <v>101</v>
      </c>
      <c r="M529" s="8" t="s">
        <v>315</v>
      </c>
      <c r="N529" s="8"/>
      <c r="O529" s="8" t="s">
        <v>44</v>
      </c>
      <c r="P529" s="11">
        <v>2.4</v>
      </c>
      <c r="Q529" s="11">
        <v>2</v>
      </c>
      <c r="R529" s="11">
        <v>3.1</v>
      </c>
      <c r="S529" s="11">
        <f>P529*4</f>
        <v>9.6</v>
      </c>
      <c r="T529" s="11">
        <f>Q529*4</f>
        <v>8</v>
      </c>
      <c r="U529" s="11">
        <f>R529*4</f>
        <v>12.4</v>
      </c>
      <c r="V529" s="12">
        <f>(4/3)*3.14*(U529/2)^3</f>
        <v>997.79989333333344</v>
      </c>
      <c r="W529" s="12">
        <f>V529/1000</f>
        <v>0.99779989333333341</v>
      </c>
    </row>
    <row r="530" spans="1:23" x14ac:dyDescent="0.25">
      <c r="A530" s="7">
        <v>531</v>
      </c>
      <c r="B530" s="8" t="s">
        <v>606</v>
      </c>
      <c r="C530" s="8" t="s">
        <v>658</v>
      </c>
      <c r="D530" s="7" t="s">
        <v>641</v>
      </c>
      <c r="E530" s="8" t="s">
        <v>51</v>
      </c>
      <c r="F530" s="7">
        <v>1000</v>
      </c>
      <c r="G530" s="7">
        <v>1500</v>
      </c>
      <c r="H530" s="7">
        <f>(F530+G530)/2</f>
        <v>1250</v>
      </c>
      <c r="I530" s="9">
        <v>5</v>
      </c>
      <c r="J530" s="10" t="s">
        <v>65</v>
      </c>
      <c r="K530" s="8" t="s">
        <v>108</v>
      </c>
      <c r="L530" s="8" t="s">
        <v>109</v>
      </c>
      <c r="M530" s="8" t="s">
        <v>140</v>
      </c>
      <c r="N530" s="8"/>
      <c r="O530" s="8" t="s">
        <v>71</v>
      </c>
      <c r="P530" s="11">
        <v>1.8</v>
      </c>
      <c r="Q530" s="11">
        <v>1.7</v>
      </c>
      <c r="R530" s="11">
        <v>2.2999999999999998</v>
      </c>
      <c r="S530" s="11">
        <f>P530*4</f>
        <v>7.2</v>
      </c>
      <c r="T530" s="11">
        <f>Q530*4</f>
        <v>6.8</v>
      </c>
      <c r="U530" s="11">
        <f>R530*4</f>
        <v>9.1999999999999993</v>
      </c>
      <c r="V530" s="12">
        <f>(4/3)*3.14*(U530/2)^3</f>
        <v>407.51338666666652</v>
      </c>
      <c r="W530" s="12">
        <f>V530/1000</f>
        <v>0.40751338666666653</v>
      </c>
    </row>
    <row r="531" spans="1:23" x14ac:dyDescent="0.25">
      <c r="A531" s="7">
        <v>532</v>
      </c>
      <c r="B531" s="8" t="s">
        <v>606</v>
      </c>
      <c r="C531" s="8" t="s">
        <v>659</v>
      </c>
      <c r="D531" s="7" t="s">
        <v>641</v>
      </c>
      <c r="E531" s="8" t="s">
        <v>51</v>
      </c>
      <c r="F531" s="7">
        <v>1000</v>
      </c>
      <c r="G531" s="7">
        <v>1500</v>
      </c>
      <c r="H531" s="7">
        <f>(F531+G531)/2</f>
        <v>1250</v>
      </c>
      <c r="I531" s="9">
        <v>5</v>
      </c>
      <c r="J531" s="10" t="s">
        <v>65</v>
      </c>
      <c r="K531" s="8" t="s">
        <v>42</v>
      </c>
      <c r="L531" s="8" t="s">
        <v>43</v>
      </c>
      <c r="M531" s="8"/>
      <c r="N531" s="8"/>
      <c r="O531" s="8" t="s">
        <v>29</v>
      </c>
      <c r="P531" s="11">
        <v>2.7</v>
      </c>
      <c r="Q531" s="11">
        <v>2.4</v>
      </c>
      <c r="R531" s="11">
        <v>3.2</v>
      </c>
      <c r="S531" s="11">
        <f>P531*4</f>
        <v>10.8</v>
      </c>
      <c r="T531" s="11">
        <f>Q531*4</f>
        <v>9.6</v>
      </c>
      <c r="U531" s="11">
        <f>R531*4</f>
        <v>12.8</v>
      </c>
      <c r="V531" s="12">
        <f>(4/3)*3.14*(U531/2)^3</f>
        <v>1097.5095466666669</v>
      </c>
      <c r="W531" s="12">
        <f>V531/1000</f>
        <v>1.0975095466666669</v>
      </c>
    </row>
    <row r="532" spans="1:23" x14ac:dyDescent="0.25">
      <c r="A532" s="7">
        <v>533</v>
      </c>
      <c r="B532" s="8" t="s">
        <v>606</v>
      </c>
      <c r="C532" s="8" t="s">
        <v>660</v>
      </c>
      <c r="D532" s="7" t="s">
        <v>641</v>
      </c>
      <c r="E532" s="8" t="s">
        <v>51</v>
      </c>
      <c r="F532" s="7">
        <v>1000</v>
      </c>
      <c r="G532" s="7">
        <v>1500</v>
      </c>
      <c r="H532" s="7">
        <f>(F532+G532)/2</f>
        <v>1250</v>
      </c>
      <c r="I532" s="9">
        <v>5</v>
      </c>
      <c r="J532" s="10" t="s">
        <v>65</v>
      </c>
      <c r="K532" s="8" t="s">
        <v>42</v>
      </c>
      <c r="L532" s="8" t="s">
        <v>43</v>
      </c>
      <c r="M532" s="8" t="s">
        <v>140</v>
      </c>
      <c r="N532" s="8"/>
      <c r="O532" s="8" t="s">
        <v>71</v>
      </c>
      <c r="P532" s="11">
        <v>3.3</v>
      </c>
      <c r="Q532" s="11">
        <v>2.4</v>
      </c>
      <c r="R532" s="11">
        <v>3.5</v>
      </c>
      <c r="S532" s="11">
        <f>P532*4</f>
        <v>13.2</v>
      </c>
      <c r="T532" s="11">
        <f>Q532*4</f>
        <v>9.6</v>
      </c>
      <c r="U532" s="11">
        <f>R532*4</f>
        <v>14</v>
      </c>
      <c r="V532" s="12">
        <f>(4/3)*3.14*(U532/2)^3</f>
        <v>1436.0266666666666</v>
      </c>
      <c r="W532" s="12">
        <f>V532/1000</f>
        <v>1.4360266666666666</v>
      </c>
    </row>
    <row r="533" spans="1:23" x14ac:dyDescent="0.25">
      <c r="A533" s="7">
        <v>534</v>
      </c>
      <c r="B533" s="8" t="s">
        <v>606</v>
      </c>
      <c r="C533" s="8" t="s">
        <v>661</v>
      </c>
      <c r="D533" s="7" t="s">
        <v>641</v>
      </c>
      <c r="E533" s="8" t="s">
        <v>51</v>
      </c>
      <c r="F533" s="7">
        <v>1000</v>
      </c>
      <c r="G533" s="7">
        <v>1500</v>
      </c>
      <c r="H533" s="7">
        <f>(F533+G533)/2</f>
        <v>1250</v>
      </c>
      <c r="I533" s="9">
        <v>5</v>
      </c>
      <c r="J533" s="10" t="s">
        <v>65</v>
      </c>
      <c r="K533" s="8" t="s">
        <v>42</v>
      </c>
      <c r="L533" s="8" t="s">
        <v>43</v>
      </c>
      <c r="M533" s="8" t="s">
        <v>140</v>
      </c>
      <c r="N533" s="8"/>
      <c r="O533" s="8" t="s">
        <v>71</v>
      </c>
      <c r="P533" s="11">
        <v>3.2</v>
      </c>
      <c r="Q533" s="11">
        <v>2.8</v>
      </c>
      <c r="R533" s="11">
        <v>3.7</v>
      </c>
      <c r="S533" s="11">
        <f>P533*4</f>
        <v>12.8</v>
      </c>
      <c r="T533" s="11">
        <f>Q533*4</f>
        <v>11.2</v>
      </c>
      <c r="U533" s="11">
        <f>R533*4</f>
        <v>14.8</v>
      </c>
      <c r="V533" s="12">
        <f>(4/3)*3.14*(U533/2)^3</f>
        <v>1696.5378133333336</v>
      </c>
      <c r="W533" s="12">
        <f>V533/1000</f>
        <v>1.6965378133333335</v>
      </c>
    </row>
    <row r="534" spans="1:23" x14ac:dyDescent="0.25">
      <c r="A534" s="7">
        <v>535</v>
      </c>
      <c r="B534" s="8" t="s">
        <v>606</v>
      </c>
      <c r="C534" s="8" t="s">
        <v>662</v>
      </c>
      <c r="D534" s="7" t="s">
        <v>641</v>
      </c>
      <c r="E534" s="8" t="s">
        <v>51</v>
      </c>
      <c r="F534" s="7">
        <v>1000</v>
      </c>
      <c r="G534" s="7">
        <v>1500</v>
      </c>
      <c r="H534" s="7">
        <f>(F534+G534)/2</f>
        <v>1250</v>
      </c>
      <c r="I534" s="9">
        <v>5</v>
      </c>
      <c r="J534" s="10" t="s">
        <v>65</v>
      </c>
      <c r="K534" s="8" t="s">
        <v>108</v>
      </c>
      <c r="L534" s="8" t="s">
        <v>109</v>
      </c>
      <c r="M534" s="8" t="s">
        <v>655</v>
      </c>
      <c r="N534" s="8"/>
      <c r="O534" s="8" t="s">
        <v>71</v>
      </c>
      <c r="P534" s="11">
        <v>1.8</v>
      </c>
      <c r="Q534" s="11">
        <v>1.9</v>
      </c>
      <c r="R534" s="11">
        <v>2.6</v>
      </c>
      <c r="S534" s="11">
        <f>P534*4</f>
        <v>7.2</v>
      </c>
      <c r="T534" s="11">
        <f>Q534*4</f>
        <v>7.6</v>
      </c>
      <c r="U534" s="11">
        <f>R534*4</f>
        <v>10.4</v>
      </c>
      <c r="V534" s="12">
        <f>(4/3)*3.14*(U534/2)^3</f>
        <v>588.67882666666674</v>
      </c>
      <c r="W534" s="12">
        <f>V534/1000</f>
        <v>0.58867882666666671</v>
      </c>
    </row>
    <row r="535" spans="1:23" x14ac:dyDescent="0.25">
      <c r="A535" s="7">
        <v>536</v>
      </c>
      <c r="B535" s="8" t="s">
        <v>606</v>
      </c>
      <c r="C535" s="8" t="s">
        <v>663</v>
      </c>
      <c r="D535" s="7" t="s">
        <v>641</v>
      </c>
      <c r="E535" s="8" t="s">
        <v>51</v>
      </c>
      <c r="F535" s="7">
        <v>1000</v>
      </c>
      <c r="G535" s="7">
        <v>1500</v>
      </c>
      <c r="H535" s="7">
        <f>(F535+G535)/2</f>
        <v>1250</v>
      </c>
      <c r="I535" s="9">
        <v>5</v>
      </c>
      <c r="J535" s="10" t="s">
        <v>65</v>
      </c>
      <c r="K535" s="8" t="s">
        <v>42</v>
      </c>
      <c r="L535" s="8" t="s">
        <v>43</v>
      </c>
      <c r="M535" s="8" t="s">
        <v>39</v>
      </c>
      <c r="N535" s="8"/>
      <c r="O535" s="8" t="s">
        <v>71</v>
      </c>
      <c r="P535" s="11">
        <v>2.8</v>
      </c>
      <c r="Q535" s="11">
        <v>3.1</v>
      </c>
      <c r="R535" s="11">
        <v>3.6</v>
      </c>
      <c r="S535" s="11">
        <f>P535*4</f>
        <v>11.2</v>
      </c>
      <c r="T535" s="11">
        <f>Q535*4</f>
        <v>12.4</v>
      </c>
      <c r="U535" s="11">
        <f>R535*4</f>
        <v>14.4</v>
      </c>
      <c r="V535" s="12">
        <f>(4/3)*3.14*(U535/2)^3</f>
        <v>1562.6649600000001</v>
      </c>
      <c r="W535" s="12">
        <f>V535/1000</f>
        <v>1.56266496</v>
      </c>
    </row>
    <row r="536" spans="1:23" x14ac:dyDescent="0.25">
      <c r="A536" s="7">
        <v>537</v>
      </c>
      <c r="B536" s="8" t="s">
        <v>606</v>
      </c>
      <c r="C536" s="8" t="s">
        <v>664</v>
      </c>
      <c r="D536" s="7" t="s">
        <v>641</v>
      </c>
      <c r="E536" s="8" t="s">
        <v>51</v>
      </c>
      <c r="F536" s="7">
        <v>1000</v>
      </c>
      <c r="G536" s="7">
        <v>1500</v>
      </c>
      <c r="H536" s="7">
        <f>(F536+G536)/2</f>
        <v>1250</v>
      </c>
      <c r="I536" s="9">
        <v>5</v>
      </c>
      <c r="J536" s="10" t="s">
        <v>26</v>
      </c>
      <c r="K536" s="8" t="s">
        <v>42</v>
      </c>
      <c r="L536" s="8" t="s">
        <v>43</v>
      </c>
      <c r="M536" s="8"/>
      <c r="N536" s="8"/>
      <c r="O536" s="8" t="s">
        <v>29</v>
      </c>
      <c r="P536" s="11">
        <v>3.1</v>
      </c>
      <c r="Q536" s="11">
        <v>3.3</v>
      </c>
      <c r="R536" s="11">
        <v>4</v>
      </c>
      <c r="S536" s="11">
        <f>P536*4</f>
        <v>12.4</v>
      </c>
      <c r="T536" s="11">
        <f>Q536*4</f>
        <v>13.2</v>
      </c>
      <c r="U536" s="11">
        <f>R536*4</f>
        <v>16</v>
      </c>
      <c r="V536" s="12">
        <f>(4/3)*3.14*(U536/2)^3</f>
        <v>2143.5733333333333</v>
      </c>
      <c r="W536" s="12">
        <f>V536/1000</f>
        <v>2.1435733333333333</v>
      </c>
    </row>
    <row r="537" spans="1:23" x14ac:dyDescent="0.25">
      <c r="A537" s="7">
        <v>538</v>
      </c>
      <c r="B537" s="8" t="s">
        <v>606</v>
      </c>
      <c r="C537" s="8" t="s">
        <v>665</v>
      </c>
      <c r="D537" s="7" t="s">
        <v>641</v>
      </c>
      <c r="E537" s="8" t="s">
        <v>51</v>
      </c>
      <c r="F537" s="7">
        <v>1000</v>
      </c>
      <c r="G537" s="7">
        <v>1500</v>
      </c>
      <c r="H537" s="7">
        <f>(F537+G537)/2</f>
        <v>1250</v>
      </c>
      <c r="I537" s="9">
        <v>5</v>
      </c>
      <c r="J537" s="10" t="s">
        <v>65</v>
      </c>
      <c r="K537" s="8" t="s">
        <v>42</v>
      </c>
      <c r="L537" s="8" t="s">
        <v>43</v>
      </c>
      <c r="M537" s="8" t="s">
        <v>39</v>
      </c>
      <c r="N537" s="8"/>
      <c r="O537" s="8" t="s">
        <v>71</v>
      </c>
      <c r="P537" s="11">
        <v>2.9</v>
      </c>
      <c r="Q537" s="11">
        <v>2.9</v>
      </c>
      <c r="R537" s="11">
        <v>3.3</v>
      </c>
      <c r="S537" s="11">
        <f>P537*4</f>
        <v>11.6</v>
      </c>
      <c r="T537" s="11">
        <f>Q537*4</f>
        <v>11.6</v>
      </c>
      <c r="U537" s="11">
        <f>R537*4</f>
        <v>13.2</v>
      </c>
      <c r="V537" s="12">
        <f>(4/3)*3.14*(U537/2)^3</f>
        <v>1203.6499199999998</v>
      </c>
      <c r="W537" s="12">
        <f>V537/1000</f>
        <v>1.2036499199999999</v>
      </c>
    </row>
    <row r="538" spans="1:23" x14ac:dyDescent="0.25">
      <c r="A538" s="7">
        <v>539</v>
      </c>
      <c r="B538" s="8" t="s">
        <v>606</v>
      </c>
      <c r="C538" s="8" t="s">
        <v>666</v>
      </c>
      <c r="D538" s="7" t="s">
        <v>667</v>
      </c>
      <c r="E538" s="8" t="s">
        <v>51</v>
      </c>
      <c r="F538" s="7">
        <v>1200</v>
      </c>
      <c r="G538" s="7">
        <v>1500</v>
      </c>
      <c r="H538" s="7">
        <f>(F538+G538)/2</f>
        <v>1350</v>
      </c>
      <c r="I538" s="9">
        <v>5</v>
      </c>
      <c r="J538" s="10" t="s">
        <v>26</v>
      </c>
      <c r="K538" s="8" t="s">
        <v>42</v>
      </c>
      <c r="L538" s="8" t="s">
        <v>43</v>
      </c>
      <c r="M538" s="8" t="s">
        <v>39</v>
      </c>
      <c r="N538" s="8"/>
      <c r="O538" s="8" t="s">
        <v>71</v>
      </c>
      <c r="P538" s="11">
        <v>3.4</v>
      </c>
      <c r="Q538" s="11">
        <v>3</v>
      </c>
      <c r="R538" s="11">
        <v>3.9</v>
      </c>
      <c r="S538" s="11">
        <f>P538*4</f>
        <v>13.6</v>
      </c>
      <c r="T538" s="11">
        <f>Q538*4</f>
        <v>12</v>
      </c>
      <c r="U538" s="11">
        <f>R538*4</f>
        <v>15.6</v>
      </c>
      <c r="V538" s="12">
        <f>(4/3)*3.14*(U538/2)^3</f>
        <v>1986.7910399999998</v>
      </c>
      <c r="W538" s="12">
        <f>V538/1000</f>
        <v>1.9867910399999997</v>
      </c>
    </row>
    <row r="539" spans="1:23" x14ac:dyDescent="0.25">
      <c r="A539" s="7">
        <v>540</v>
      </c>
      <c r="B539" s="8" t="s">
        <v>606</v>
      </c>
      <c r="C539" s="8" t="s">
        <v>668</v>
      </c>
      <c r="D539" s="7" t="s">
        <v>667</v>
      </c>
      <c r="E539" s="8" t="s">
        <v>51</v>
      </c>
      <c r="F539" s="7">
        <v>1200</v>
      </c>
      <c r="G539" s="7">
        <v>1500</v>
      </c>
      <c r="H539" s="7">
        <f>(F539+G539)/2</f>
        <v>1350</v>
      </c>
      <c r="I539" s="9">
        <v>6</v>
      </c>
      <c r="J539" s="10" t="s">
        <v>34</v>
      </c>
      <c r="K539" s="8" t="s">
        <v>42</v>
      </c>
      <c r="L539" s="8" t="s">
        <v>43</v>
      </c>
      <c r="M539" s="8" t="s">
        <v>39</v>
      </c>
      <c r="N539" s="8"/>
      <c r="O539" s="8" t="s">
        <v>71</v>
      </c>
      <c r="P539" s="11">
        <v>4.8</v>
      </c>
      <c r="Q539" s="11">
        <v>8.5</v>
      </c>
      <c r="R539" s="11">
        <v>8.6999999999999993</v>
      </c>
      <c r="S539" s="11">
        <f>P539*4</f>
        <v>19.2</v>
      </c>
      <c r="T539" s="11">
        <f>Q539*4</f>
        <v>34</v>
      </c>
      <c r="U539" s="11">
        <f>R539*4</f>
        <v>34.799999999999997</v>
      </c>
      <c r="V539" s="12">
        <f>(4/3)*3.14*(U539/2)^3</f>
        <v>22055.460479999994</v>
      </c>
      <c r="W539" s="12">
        <f>V539/1000</f>
        <v>22.055460479999994</v>
      </c>
    </row>
    <row r="540" spans="1:23" x14ac:dyDescent="0.25">
      <c r="A540" s="7">
        <v>541</v>
      </c>
      <c r="B540" s="8" t="s">
        <v>606</v>
      </c>
      <c r="C540" s="8" t="s">
        <v>669</v>
      </c>
      <c r="D540" s="7" t="s">
        <v>667</v>
      </c>
      <c r="E540" s="8" t="s">
        <v>51</v>
      </c>
      <c r="F540" s="7">
        <v>1200</v>
      </c>
      <c r="G540" s="7">
        <v>1500</v>
      </c>
      <c r="H540" s="7">
        <f>(F540+G540)/2</f>
        <v>1350</v>
      </c>
      <c r="I540" s="9">
        <v>5</v>
      </c>
      <c r="J540" s="10" t="s">
        <v>26</v>
      </c>
      <c r="K540" s="8" t="s">
        <v>42</v>
      </c>
      <c r="L540" s="8" t="s">
        <v>43</v>
      </c>
      <c r="M540" s="8" t="s">
        <v>39</v>
      </c>
      <c r="N540" s="8"/>
      <c r="O540" s="8" t="s">
        <v>71</v>
      </c>
      <c r="P540" s="11">
        <v>3.8</v>
      </c>
      <c r="Q540" s="11">
        <v>4.9000000000000004</v>
      </c>
      <c r="R540" s="11">
        <v>5.3</v>
      </c>
      <c r="S540" s="11">
        <f>P540*4</f>
        <v>15.2</v>
      </c>
      <c r="T540" s="11">
        <f>Q540*4</f>
        <v>19.600000000000001</v>
      </c>
      <c r="U540" s="11">
        <f>R540*4</f>
        <v>21.2</v>
      </c>
      <c r="V540" s="12">
        <f>(4/3)*3.14*(U540/2)^3</f>
        <v>4986.3869866666655</v>
      </c>
      <c r="W540" s="12">
        <f>V540/1000</f>
        <v>4.9863869866666652</v>
      </c>
    </row>
    <row r="541" spans="1:23" x14ac:dyDescent="0.25">
      <c r="A541" s="7">
        <v>542</v>
      </c>
      <c r="B541" s="8" t="s">
        <v>606</v>
      </c>
      <c r="C541" s="8" t="s">
        <v>670</v>
      </c>
      <c r="D541" s="7" t="s">
        <v>667</v>
      </c>
      <c r="E541" s="8" t="s">
        <v>51</v>
      </c>
      <c r="F541" s="7">
        <v>1200</v>
      </c>
      <c r="G541" s="7">
        <v>1500</v>
      </c>
      <c r="H541" s="7">
        <f>(F541+G541)/2</f>
        <v>1350</v>
      </c>
      <c r="I541" s="9">
        <v>6</v>
      </c>
      <c r="J541" s="10" t="s">
        <v>32</v>
      </c>
      <c r="K541" s="8" t="s">
        <v>137</v>
      </c>
      <c r="L541" s="8" t="s">
        <v>138</v>
      </c>
      <c r="M541" s="8"/>
      <c r="N541" s="8"/>
      <c r="O541" s="8" t="s">
        <v>44</v>
      </c>
      <c r="P541" s="11">
        <v>4.5999999999999996</v>
      </c>
      <c r="Q541" s="11">
        <v>8.1</v>
      </c>
      <c r="R541" s="11">
        <v>9.1</v>
      </c>
      <c r="S541" s="11">
        <f>P541*4</f>
        <v>18.399999999999999</v>
      </c>
      <c r="T541" s="11">
        <f>Q541*4</f>
        <v>32.4</v>
      </c>
      <c r="U541" s="11">
        <f>R541*4</f>
        <v>36.4</v>
      </c>
      <c r="V541" s="12">
        <f>(4/3)*3.14*(U541/2)^3</f>
        <v>25239.604693333331</v>
      </c>
      <c r="W541" s="12">
        <f>V541/1000</f>
        <v>25.23960469333333</v>
      </c>
    </row>
    <row r="542" spans="1:23" x14ac:dyDescent="0.25">
      <c r="A542" s="7">
        <v>543</v>
      </c>
      <c r="B542" s="8" t="s">
        <v>606</v>
      </c>
      <c r="C542" s="8" t="s">
        <v>671</v>
      </c>
      <c r="D542" s="7" t="s">
        <v>667</v>
      </c>
      <c r="E542" s="8" t="s">
        <v>51</v>
      </c>
      <c r="F542" s="7">
        <v>1200</v>
      </c>
      <c r="G542" s="7">
        <v>1500</v>
      </c>
      <c r="H542" s="7">
        <f>(F542+G542)/2</f>
        <v>1350</v>
      </c>
      <c r="I542" s="9">
        <v>5</v>
      </c>
      <c r="J542" s="10" t="s">
        <v>26</v>
      </c>
      <c r="K542" s="8" t="s">
        <v>42</v>
      </c>
      <c r="L542" s="8" t="s">
        <v>43</v>
      </c>
      <c r="M542" s="8" t="s">
        <v>39</v>
      </c>
      <c r="N542" s="8"/>
      <c r="O542" s="8" t="s">
        <v>71</v>
      </c>
      <c r="P542" s="11">
        <v>4</v>
      </c>
      <c r="Q542" s="11">
        <v>4.4000000000000004</v>
      </c>
      <c r="R542" s="11">
        <v>5.6</v>
      </c>
      <c r="S542" s="11">
        <f>P542*4</f>
        <v>16</v>
      </c>
      <c r="T542" s="11">
        <f>Q542*4</f>
        <v>17.600000000000001</v>
      </c>
      <c r="U542" s="11">
        <f>R542*4</f>
        <v>22.4</v>
      </c>
      <c r="V542" s="12">
        <f>(4/3)*3.14*(U542/2)^3</f>
        <v>5881.9652266666653</v>
      </c>
      <c r="W542" s="12">
        <f>V542/1000</f>
        <v>5.8819652266666651</v>
      </c>
    </row>
    <row r="543" spans="1:23" x14ac:dyDescent="0.25">
      <c r="A543" s="7">
        <v>544</v>
      </c>
      <c r="B543" s="8" t="s">
        <v>606</v>
      </c>
      <c r="C543" s="8" t="s">
        <v>672</v>
      </c>
      <c r="D543" s="7" t="s">
        <v>667</v>
      </c>
      <c r="E543" s="8" t="s">
        <v>51</v>
      </c>
      <c r="F543" s="7">
        <v>1200</v>
      </c>
      <c r="G543" s="7">
        <v>1500</v>
      </c>
      <c r="H543" s="7">
        <f>(F543+G543)/2</f>
        <v>1350</v>
      </c>
      <c r="I543" s="9">
        <v>5</v>
      </c>
      <c r="J543" s="10" t="s">
        <v>26</v>
      </c>
      <c r="K543" s="8" t="s">
        <v>42</v>
      </c>
      <c r="L543" s="8" t="s">
        <v>43</v>
      </c>
      <c r="M543" s="8"/>
      <c r="N543" s="8" t="s">
        <v>452</v>
      </c>
      <c r="O543" s="8" t="s">
        <v>29</v>
      </c>
      <c r="P543" s="11">
        <v>4.4000000000000004</v>
      </c>
      <c r="Q543" s="11">
        <v>5.0999999999999996</v>
      </c>
      <c r="R543" s="11">
        <v>6.1</v>
      </c>
      <c r="S543" s="11">
        <f>P543*4</f>
        <v>17.600000000000001</v>
      </c>
      <c r="T543" s="11">
        <f>Q543*4</f>
        <v>20.399999999999999</v>
      </c>
      <c r="U543" s="11">
        <f>R543*4</f>
        <v>24.4</v>
      </c>
      <c r="V543" s="12">
        <f>(4/3)*3.14*(U543/2)^3</f>
        <v>7602.3502933333311</v>
      </c>
      <c r="W543" s="12">
        <f>V543/1000</f>
        <v>7.6023502933333313</v>
      </c>
    </row>
    <row r="544" spans="1:23" x14ac:dyDescent="0.25">
      <c r="A544" s="7">
        <v>545</v>
      </c>
      <c r="B544" s="8" t="s">
        <v>606</v>
      </c>
      <c r="C544" s="8" t="s">
        <v>673</v>
      </c>
      <c r="D544" s="7" t="s">
        <v>667</v>
      </c>
      <c r="E544" s="8" t="s">
        <v>51</v>
      </c>
      <c r="F544" s="7">
        <v>1200</v>
      </c>
      <c r="G544" s="7">
        <v>1500</v>
      </c>
      <c r="H544" s="7">
        <f>(F544+G544)/2</f>
        <v>1350</v>
      </c>
      <c r="I544" s="9">
        <v>5</v>
      </c>
      <c r="J544" s="10" t="s">
        <v>26</v>
      </c>
      <c r="K544" s="8" t="s">
        <v>42</v>
      </c>
      <c r="L544" s="8" t="s">
        <v>43</v>
      </c>
      <c r="M544" s="8" t="s">
        <v>140</v>
      </c>
      <c r="N544" s="8"/>
      <c r="O544" s="8" t="s">
        <v>71</v>
      </c>
      <c r="P544" s="11">
        <v>3.8</v>
      </c>
      <c r="Q544" s="11">
        <v>4.2</v>
      </c>
      <c r="R544" s="11">
        <v>5</v>
      </c>
      <c r="S544" s="11">
        <f>P544*4</f>
        <v>15.2</v>
      </c>
      <c r="T544" s="11">
        <f>Q544*4</f>
        <v>16.8</v>
      </c>
      <c r="U544" s="11">
        <f>R544*4</f>
        <v>20</v>
      </c>
      <c r="V544" s="12">
        <f>(4/3)*3.14*(U544/2)^3</f>
        <v>4186.666666666667</v>
      </c>
      <c r="W544" s="12">
        <f>V544/1000</f>
        <v>4.1866666666666665</v>
      </c>
    </row>
    <row r="545" spans="1:23" x14ac:dyDescent="0.25">
      <c r="A545" s="7">
        <v>546</v>
      </c>
      <c r="B545" s="8" t="s">
        <v>606</v>
      </c>
      <c r="C545" s="8" t="s">
        <v>674</v>
      </c>
      <c r="D545" s="7" t="s">
        <v>641</v>
      </c>
      <c r="E545" s="8" t="s">
        <v>51</v>
      </c>
      <c r="F545" s="7">
        <v>1000</v>
      </c>
      <c r="G545" s="7">
        <v>1500</v>
      </c>
      <c r="H545" s="7">
        <f>(F545+G545)/2</f>
        <v>1250</v>
      </c>
      <c r="I545" s="9">
        <v>6</v>
      </c>
      <c r="J545" s="10" t="s">
        <v>34</v>
      </c>
      <c r="K545" s="8" t="s">
        <v>42</v>
      </c>
      <c r="L545" s="8" t="s">
        <v>43</v>
      </c>
      <c r="M545" s="8" t="s">
        <v>39</v>
      </c>
      <c r="N545" s="8"/>
      <c r="O545" s="8" t="s">
        <v>71</v>
      </c>
      <c r="P545" s="11">
        <v>2.7</v>
      </c>
      <c r="Q545" s="11">
        <v>7.7</v>
      </c>
      <c r="R545" s="11">
        <v>7</v>
      </c>
      <c r="S545" s="11">
        <f>P545*4</f>
        <v>10.8</v>
      </c>
      <c r="T545" s="11">
        <f>Q545*4</f>
        <v>30.8</v>
      </c>
      <c r="U545" s="11">
        <f>R545*4</f>
        <v>28</v>
      </c>
      <c r="V545" s="12">
        <f>(4/3)*3.14*(U545/2)^3</f>
        <v>11488.213333333333</v>
      </c>
      <c r="W545" s="12">
        <f>V545/1000</f>
        <v>11.488213333333332</v>
      </c>
    </row>
    <row r="546" spans="1:23" x14ac:dyDescent="0.25">
      <c r="A546" s="7">
        <v>547</v>
      </c>
      <c r="B546" s="8" t="s">
        <v>606</v>
      </c>
      <c r="C546" s="8" t="s">
        <v>675</v>
      </c>
      <c r="D546" s="7" t="s">
        <v>641</v>
      </c>
      <c r="E546" s="8" t="s">
        <v>51</v>
      </c>
      <c r="F546" s="7">
        <v>1000</v>
      </c>
      <c r="G546" s="7">
        <v>1500</v>
      </c>
      <c r="H546" s="7">
        <f>(F546+G546)/2</f>
        <v>1250</v>
      </c>
      <c r="I546" s="9">
        <v>6</v>
      </c>
      <c r="J546" s="10" t="s">
        <v>34</v>
      </c>
      <c r="K546" s="8" t="s">
        <v>96</v>
      </c>
      <c r="L546" s="8" t="s">
        <v>96</v>
      </c>
      <c r="M546" s="8"/>
      <c r="N546" s="8"/>
      <c r="O546" s="8" t="s">
        <v>44</v>
      </c>
      <c r="P546" s="11">
        <v>3.2</v>
      </c>
      <c r="Q546" s="11">
        <v>8.9</v>
      </c>
      <c r="R546" s="11">
        <v>7.3</v>
      </c>
      <c r="S546" s="11">
        <f>P546*4</f>
        <v>12.8</v>
      </c>
      <c r="T546" s="11">
        <f>Q546*4</f>
        <v>35.6</v>
      </c>
      <c r="U546" s="11">
        <f>R546*4</f>
        <v>29.2</v>
      </c>
      <c r="V546" s="12">
        <f>(4/3)*3.14*(U546/2)^3</f>
        <v>13029.476053333332</v>
      </c>
      <c r="W546" s="12">
        <f>V546/1000</f>
        <v>13.029476053333331</v>
      </c>
    </row>
    <row r="547" spans="1:23" x14ac:dyDescent="0.25">
      <c r="A547" s="7">
        <v>548</v>
      </c>
      <c r="B547" s="8" t="s">
        <v>606</v>
      </c>
      <c r="C547" s="8" t="s">
        <v>676</v>
      </c>
      <c r="D547" s="7" t="s">
        <v>641</v>
      </c>
      <c r="E547" s="8" t="s">
        <v>51</v>
      </c>
      <c r="F547" s="7">
        <v>1000</v>
      </c>
      <c r="G547" s="7">
        <v>1500</v>
      </c>
      <c r="H547" s="7">
        <f>(F547+G547)/2</f>
        <v>1250</v>
      </c>
      <c r="I547" s="9">
        <v>3</v>
      </c>
      <c r="J547" s="10" t="s">
        <v>65</v>
      </c>
      <c r="K547" s="8" t="s">
        <v>27</v>
      </c>
      <c r="L547" s="8" t="s">
        <v>28</v>
      </c>
      <c r="M547" s="8" t="s">
        <v>39</v>
      </c>
      <c r="N547" s="8"/>
      <c r="O547" s="8" t="s">
        <v>71</v>
      </c>
      <c r="P547" s="11">
        <v>2.5</v>
      </c>
      <c r="Q547" s="11">
        <v>1.6</v>
      </c>
      <c r="R547" s="11">
        <v>3</v>
      </c>
      <c r="S547" s="11">
        <f>P547*4</f>
        <v>10</v>
      </c>
      <c r="T547" s="11">
        <f>Q547*4</f>
        <v>6.4</v>
      </c>
      <c r="U547" s="11">
        <f>R547*4</f>
        <v>12</v>
      </c>
      <c r="V547" s="12">
        <f>4/3*3.14*U547^2*T547</f>
        <v>3858.4320000000002</v>
      </c>
      <c r="W547" s="12">
        <f>V547/1000</f>
        <v>3.8584320000000001</v>
      </c>
    </row>
    <row r="548" spans="1:23" x14ac:dyDescent="0.25">
      <c r="A548" s="7">
        <v>549</v>
      </c>
      <c r="B548" s="8" t="s">
        <v>606</v>
      </c>
      <c r="C548" s="8" t="s">
        <v>677</v>
      </c>
      <c r="D548" s="7" t="s">
        <v>641</v>
      </c>
      <c r="E548" s="8" t="s">
        <v>51</v>
      </c>
      <c r="F548" s="7">
        <v>1000</v>
      </c>
      <c r="G548" s="7">
        <v>1500</v>
      </c>
      <c r="H548" s="7">
        <f>(F548+G548)/2</f>
        <v>1250</v>
      </c>
      <c r="I548" s="9">
        <v>4</v>
      </c>
      <c r="J548" s="10" t="s">
        <v>26</v>
      </c>
      <c r="K548" s="8" t="s">
        <v>68</v>
      </c>
      <c r="L548" s="8" t="s">
        <v>28</v>
      </c>
      <c r="M548" s="8" t="s">
        <v>39</v>
      </c>
      <c r="N548" s="8"/>
      <c r="O548" s="8" t="s">
        <v>71</v>
      </c>
      <c r="P548" s="11">
        <v>4.5999999999999996</v>
      </c>
      <c r="Q548" s="11">
        <v>3.3</v>
      </c>
      <c r="R548" s="11">
        <v>4.5999999999999996</v>
      </c>
      <c r="S548" s="11">
        <f>P548*4</f>
        <v>18.399999999999999</v>
      </c>
      <c r="T548" s="11">
        <f>Q548*4</f>
        <v>13.2</v>
      </c>
      <c r="U548" s="11">
        <f>R548*4</f>
        <v>18.399999999999999</v>
      </c>
      <c r="V548" s="12">
        <f>(2/3)*3.14*(U548/2)^3</f>
        <v>1630.0535466666661</v>
      </c>
      <c r="W548" s="12">
        <f>V548/1000</f>
        <v>1.6300535466666661</v>
      </c>
    </row>
    <row r="549" spans="1:23" x14ac:dyDescent="0.25">
      <c r="A549" s="7">
        <v>550</v>
      </c>
      <c r="B549" s="8" t="s">
        <v>606</v>
      </c>
      <c r="C549" s="8" t="s">
        <v>678</v>
      </c>
      <c r="D549" s="7" t="s">
        <v>641</v>
      </c>
      <c r="E549" s="8" t="s">
        <v>51</v>
      </c>
      <c r="F549" s="7">
        <v>1000</v>
      </c>
      <c r="G549" s="7">
        <v>1500</v>
      </c>
      <c r="H549" s="7">
        <f>(F549+G549)/2</f>
        <v>1250</v>
      </c>
      <c r="I549" s="9">
        <v>5</v>
      </c>
      <c r="J549" s="10" t="s">
        <v>26</v>
      </c>
      <c r="K549" s="8" t="s">
        <v>68</v>
      </c>
      <c r="L549" s="8" t="s">
        <v>28</v>
      </c>
      <c r="M549" s="8"/>
      <c r="N549" s="8"/>
      <c r="O549" s="8" t="s">
        <v>29</v>
      </c>
      <c r="P549" s="11">
        <v>3</v>
      </c>
      <c r="Q549" s="11">
        <v>3.3</v>
      </c>
      <c r="R549" s="11">
        <v>4</v>
      </c>
      <c r="S549" s="11">
        <f>P549*4</f>
        <v>12</v>
      </c>
      <c r="T549" s="11">
        <f>Q549*4</f>
        <v>13.2</v>
      </c>
      <c r="U549" s="11">
        <f>R549*4</f>
        <v>16</v>
      </c>
      <c r="V549" s="12">
        <f>(4/3)*3.14*(U549/2)^3</f>
        <v>2143.5733333333333</v>
      </c>
      <c r="W549" s="12">
        <f>V549/1000</f>
        <v>2.1435733333333333</v>
      </c>
    </row>
    <row r="550" spans="1:23" x14ac:dyDescent="0.25">
      <c r="A550" s="7">
        <v>551</v>
      </c>
      <c r="B550" s="8" t="s">
        <v>606</v>
      </c>
      <c r="C550" s="8" t="s">
        <v>679</v>
      </c>
      <c r="D550" s="7" t="s">
        <v>641</v>
      </c>
      <c r="E550" s="8" t="s">
        <v>51</v>
      </c>
      <c r="F550" s="7">
        <v>1000</v>
      </c>
      <c r="G550" s="7">
        <v>1500</v>
      </c>
      <c r="H550" s="7">
        <f>(F550+G550)/2</f>
        <v>1250</v>
      </c>
      <c r="I550" s="9">
        <v>4</v>
      </c>
      <c r="J550" s="10" t="s">
        <v>26</v>
      </c>
      <c r="K550" s="8" t="s">
        <v>68</v>
      </c>
      <c r="L550" s="8" t="s">
        <v>28</v>
      </c>
      <c r="M550" s="8"/>
      <c r="N550" s="8"/>
      <c r="O550" s="8" t="s">
        <v>29</v>
      </c>
      <c r="P550" s="11">
        <v>4.9000000000000004</v>
      </c>
      <c r="Q550" s="11">
        <v>3.5</v>
      </c>
      <c r="R550" s="11">
        <v>5.2</v>
      </c>
      <c r="S550" s="11">
        <f>P550*4</f>
        <v>19.600000000000001</v>
      </c>
      <c r="T550" s="11">
        <f>Q550*4</f>
        <v>14</v>
      </c>
      <c r="U550" s="11">
        <f>R550*4</f>
        <v>20.8</v>
      </c>
      <c r="V550" s="12">
        <f>(2/3)*3.14*(U550/2)^3</f>
        <v>2354.7153066666669</v>
      </c>
      <c r="W550" s="12">
        <f>V550/1000</f>
        <v>2.3547153066666668</v>
      </c>
    </row>
    <row r="551" spans="1:23" x14ac:dyDescent="0.25">
      <c r="A551" s="7">
        <v>552</v>
      </c>
      <c r="B551" s="8" t="s">
        <v>606</v>
      </c>
      <c r="C551" s="8" t="s">
        <v>680</v>
      </c>
      <c r="D551" s="7" t="s">
        <v>641</v>
      </c>
      <c r="E551" s="8" t="s">
        <v>51</v>
      </c>
      <c r="F551" s="7">
        <v>1000</v>
      </c>
      <c r="G551" s="7">
        <v>1500</v>
      </c>
      <c r="H551" s="7">
        <f>(F551+G551)/2</f>
        <v>1250</v>
      </c>
      <c r="I551" s="9">
        <v>5</v>
      </c>
      <c r="J551" s="10" t="s">
        <v>65</v>
      </c>
      <c r="K551" s="8" t="s">
        <v>27</v>
      </c>
      <c r="L551" s="8" t="s">
        <v>28</v>
      </c>
      <c r="M551" s="8" t="s">
        <v>140</v>
      </c>
      <c r="N551" s="8"/>
      <c r="O551" s="8" t="s">
        <v>71</v>
      </c>
      <c r="P551" s="11">
        <v>2.2000000000000002</v>
      </c>
      <c r="Q551" s="11">
        <v>2.5</v>
      </c>
      <c r="R551" s="11">
        <v>2.8</v>
      </c>
      <c r="S551" s="11">
        <f>P551*4</f>
        <v>8.8000000000000007</v>
      </c>
      <c r="T551" s="11">
        <f>Q551*4</f>
        <v>10</v>
      </c>
      <c r="U551" s="11">
        <f>R551*4</f>
        <v>11.2</v>
      </c>
      <c r="V551" s="12">
        <f>(4/3)*3.14*(U551/2)^3</f>
        <v>735.24565333333317</v>
      </c>
      <c r="W551" s="12">
        <f>V551/1000</f>
        <v>0.73524565333333314</v>
      </c>
    </row>
    <row r="552" spans="1:23" x14ac:dyDescent="0.25">
      <c r="A552" s="7">
        <v>553</v>
      </c>
      <c r="B552" s="8" t="s">
        <v>606</v>
      </c>
      <c r="C552" s="8" t="s">
        <v>681</v>
      </c>
      <c r="D552" s="7" t="s">
        <v>641</v>
      </c>
      <c r="E552" s="8" t="s">
        <v>51</v>
      </c>
      <c r="F552" s="7">
        <v>1000</v>
      </c>
      <c r="G552" s="7">
        <v>1500</v>
      </c>
      <c r="H552" s="7">
        <f>(F552+G552)/2</f>
        <v>1250</v>
      </c>
      <c r="I552" s="9">
        <v>4</v>
      </c>
      <c r="J552" s="10" t="s">
        <v>65</v>
      </c>
      <c r="K552" s="8" t="s">
        <v>157</v>
      </c>
      <c r="L552" s="8" t="s">
        <v>38</v>
      </c>
      <c r="M552" s="8" t="s">
        <v>140</v>
      </c>
      <c r="N552" s="8"/>
      <c r="O552" s="8" t="s">
        <v>71</v>
      </c>
      <c r="P552" s="11">
        <v>2.9</v>
      </c>
      <c r="Q552" s="11">
        <v>1.9</v>
      </c>
      <c r="R552" s="11">
        <v>2.9</v>
      </c>
      <c r="S552" s="11">
        <f>P552*4</f>
        <v>11.6</v>
      </c>
      <c r="T552" s="11">
        <f>Q552*4</f>
        <v>7.6</v>
      </c>
      <c r="U552" s="11">
        <f>R552*4</f>
        <v>11.6</v>
      </c>
      <c r="V552" s="12">
        <f>(2/3)*3.14*(U552/2)^3</f>
        <v>408.43445333333329</v>
      </c>
      <c r="W552" s="12">
        <f>V552/1000</f>
        <v>0.40843445333333328</v>
      </c>
    </row>
    <row r="553" spans="1:23" x14ac:dyDescent="0.25">
      <c r="A553" s="7">
        <v>554</v>
      </c>
      <c r="B553" s="8" t="s">
        <v>606</v>
      </c>
      <c r="C553" s="8" t="s">
        <v>682</v>
      </c>
      <c r="D553" s="7" t="s">
        <v>641</v>
      </c>
      <c r="E553" s="8" t="s">
        <v>51</v>
      </c>
      <c r="F553" s="7">
        <v>1000</v>
      </c>
      <c r="G553" s="7">
        <v>1500</v>
      </c>
      <c r="H553" s="7">
        <f>(F553+G553)/2</f>
        <v>1250</v>
      </c>
      <c r="I553" s="9">
        <v>5</v>
      </c>
      <c r="J553" s="10" t="s">
        <v>26</v>
      </c>
      <c r="K553" s="8" t="s">
        <v>42</v>
      </c>
      <c r="L553" s="8" t="s">
        <v>43</v>
      </c>
      <c r="M553" s="8"/>
      <c r="N553" s="8"/>
      <c r="O553" s="8" t="s">
        <v>44</v>
      </c>
      <c r="P553" s="11">
        <v>3.3</v>
      </c>
      <c r="Q553" s="11">
        <v>4</v>
      </c>
      <c r="R553" s="11">
        <v>4.3</v>
      </c>
      <c r="S553" s="11">
        <f>P553*4</f>
        <v>13.2</v>
      </c>
      <c r="T553" s="11">
        <f>Q553*4</f>
        <v>16</v>
      </c>
      <c r="U553" s="11">
        <f>R553*4</f>
        <v>17.2</v>
      </c>
      <c r="V553" s="12">
        <f>(4/3)*3.14*(U553/2)^3</f>
        <v>2662.9544533333328</v>
      </c>
      <c r="W553" s="12">
        <f>V553/1000</f>
        <v>2.6629544533333327</v>
      </c>
    </row>
    <row r="554" spans="1:23" x14ac:dyDescent="0.25">
      <c r="A554" s="7">
        <v>555</v>
      </c>
      <c r="B554" s="8" t="s">
        <v>683</v>
      </c>
      <c r="C554" s="8" t="s">
        <v>684</v>
      </c>
      <c r="D554" s="7" t="s">
        <v>413</v>
      </c>
      <c r="E554" s="8" t="s">
        <v>51</v>
      </c>
      <c r="F554" s="7">
        <v>1000</v>
      </c>
      <c r="G554" s="7">
        <v>1300</v>
      </c>
      <c r="H554" s="7">
        <f>(F554+G554)/2</f>
        <v>1150</v>
      </c>
      <c r="I554" s="9">
        <v>3</v>
      </c>
      <c r="J554" s="10" t="s">
        <v>32</v>
      </c>
      <c r="K554" s="8" t="s">
        <v>42</v>
      </c>
      <c r="L554" s="8" t="s">
        <v>43</v>
      </c>
      <c r="M554" s="8" t="s">
        <v>39</v>
      </c>
      <c r="N554" s="8"/>
      <c r="O554" s="8" t="s">
        <v>71</v>
      </c>
      <c r="P554" s="11">
        <v>9.3000000000000007</v>
      </c>
      <c r="Q554" s="11">
        <v>5.2</v>
      </c>
      <c r="R554" s="11">
        <v>11</v>
      </c>
      <c r="S554" s="11">
        <f>P554*4</f>
        <v>37.200000000000003</v>
      </c>
      <c r="T554" s="11">
        <f>Q554*4</f>
        <v>20.8</v>
      </c>
      <c r="U554" s="11">
        <f>R554*4</f>
        <v>44</v>
      </c>
      <c r="V554" s="12">
        <f>4/3*3.14*U554^2*T554</f>
        <v>168592.04266666668</v>
      </c>
      <c r="W554" s="12">
        <f>V554/1000</f>
        <v>168.59204266666669</v>
      </c>
    </row>
    <row r="555" spans="1:23" x14ac:dyDescent="0.25">
      <c r="A555" s="7">
        <v>556</v>
      </c>
      <c r="B555" s="8" t="s">
        <v>683</v>
      </c>
      <c r="C555" s="8" t="s">
        <v>685</v>
      </c>
      <c r="D555" s="7" t="s">
        <v>413</v>
      </c>
      <c r="E555" s="8" t="s">
        <v>51</v>
      </c>
      <c r="F555" s="7">
        <v>1000</v>
      </c>
      <c r="G555" s="7">
        <v>1300</v>
      </c>
      <c r="H555" s="7">
        <f>(F555+G555)/2</f>
        <v>1150</v>
      </c>
      <c r="I555" s="9">
        <v>7</v>
      </c>
      <c r="J555" s="10" t="s">
        <v>34</v>
      </c>
      <c r="K555" s="8" t="s">
        <v>27</v>
      </c>
      <c r="L555" s="8" t="s">
        <v>28</v>
      </c>
      <c r="M555" s="8" t="s">
        <v>39</v>
      </c>
      <c r="N555" s="8"/>
      <c r="O555" s="8" t="s">
        <v>71</v>
      </c>
      <c r="P555" s="11">
        <v>6</v>
      </c>
      <c r="Q555" s="11">
        <v>3.7</v>
      </c>
      <c r="R555" s="11">
        <v>7.2</v>
      </c>
      <c r="S555" s="11">
        <f>P555*4</f>
        <v>24</v>
      </c>
      <c r="T555" s="11">
        <f>Q555*4</f>
        <v>14.8</v>
      </c>
      <c r="U555" s="11">
        <f>R555*4</f>
        <v>28.8</v>
      </c>
      <c r="V555" s="12">
        <f>4/3*3.14*U555^2*T555</f>
        <v>51394.31424</v>
      </c>
      <c r="W555" s="12">
        <f>V555/1000</f>
        <v>51.39431424</v>
      </c>
    </row>
    <row r="556" spans="1:23" x14ac:dyDescent="0.25">
      <c r="A556" s="7">
        <v>557</v>
      </c>
      <c r="B556" s="8" t="s">
        <v>683</v>
      </c>
      <c r="C556" s="8" t="s">
        <v>686</v>
      </c>
      <c r="D556" s="7" t="s">
        <v>413</v>
      </c>
      <c r="E556" s="8" t="s">
        <v>51</v>
      </c>
      <c r="F556" s="7">
        <v>1000</v>
      </c>
      <c r="G556" s="7">
        <v>1300</v>
      </c>
      <c r="H556" s="7">
        <f>(F556+G556)/2</f>
        <v>1150</v>
      </c>
      <c r="I556" s="9">
        <v>3</v>
      </c>
      <c r="J556" s="10" t="s">
        <v>34</v>
      </c>
      <c r="K556" s="8" t="s">
        <v>42</v>
      </c>
      <c r="L556" s="8" t="s">
        <v>43</v>
      </c>
      <c r="M556" s="8" t="s">
        <v>39</v>
      </c>
      <c r="N556" s="8"/>
      <c r="O556" s="8" t="s">
        <v>71</v>
      </c>
      <c r="P556" s="11">
        <v>7.5</v>
      </c>
      <c r="Q556" s="11">
        <v>4.5999999999999996</v>
      </c>
      <c r="R556" s="11">
        <v>8.1</v>
      </c>
      <c r="S556" s="11">
        <f>P556*4</f>
        <v>30</v>
      </c>
      <c r="T556" s="11">
        <f>Q556*4</f>
        <v>18.399999999999999</v>
      </c>
      <c r="U556" s="11">
        <f>R556*4</f>
        <v>32.4</v>
      </c>
      <c r="V556" s="12">
        <f>4/3*3.14*U556^2*T556</f>
        <v>80867.911679999976</v>
      </c>
      <c r="W556" s="12">
        <f>V556/1000</f>
        <v>80.867911679999978</v>
      </c>
    </row>
    <row r="557" spans="1:23" x14ac:dyDescent="0.25">
      <c r="A557" s="7">
        <v>558</v>
      </c>
      <c r="B557" s="8" t="s">
        <v>683</v>
      </c>
      <c r="C557" s="8" t="s">
        <v>687</v>
      </c>
      <c r="D557" s="7" t="s">
        <v>413</v>
      </c>
      <c r="E557" s="8" t="s">
        <v>51</v>
      </c>
      <c r="F557" s="7">
        <v>1000</v>
      </c>
      <c r="G557" s="7">
        <v>1300</v>
      </c>
      <c r="H557" s="7">
        <f>(F557+G557)/2</f>
        <v>1150</v>
      </c>
      <c r="I557" s="9">
        <v>8</v>
      </c>
      <c r="J557" s="10" t="s">
        <v>32</v>
      </c>
      <c r="K557" s="8" t="s">
        <v>77</v>
      </c>
      <c r="L557" s="8" t="s">
        <v>77</v>
      </c>
      <c r="M557" s="8" t="s">
        <v>140</v>
      </c>
      <c r="N557" s="8" t="s">
        <v>438</v>
      </c>
      <c r="O557" s="8" t="s">
        <v>71</v>
      </c>
      <c r="P557" s="11">
        <v>8.1999999999999993</v>
      </c>
      <c r="Q557" s="11">
        <v>2.6</v>
      </c>
      <c r="R557" s="11">
        <v>9.1999999999999993</v>
      </c>
      <c r="S557" s="11">
        <f>P557*4</f>
        <v>32.799999999999997</v>
      </c>
      <c r="T557" s="11">
        <f>Q557*4</f>
        <v>10.4</v>
      </c>
      <c r="U557" s="11">
        <f>R557*4</f>
        <v>36.799999999999997</v>
      </c>
      <c r="V557" s="12">
        <f>4/3*3.14*U557^2*T557</f>
        <v>58965.415253333325</v>
      </c>
      <c r="W557" s="12">
        <f>V557/1000</f>
        <v>58.965415253333326</v>
      </c>
    </row>
    <row r="558" spans="1:23" x14ac:dyDescent="0.25">
      <c r="A558" s="7">
        <v>560</v>
      </c>
      <c r="B558" s="8" t="s">
        <v>683</v>
      </c>
      <c r="C558" s="8" t="s">
        <v>688</v>
      </c>
      <c r="D558" s="7" t="s">
        <v>413</v>
      </c>
      <c r="E558" s="8" t="s">
        <v>51</v>
      </c>
      <c r="F558" s="7">
        <v>1000</v>
      </c>
      <c r="G558" s="7">
        <v>1300</v>
      </c>
      <c r="H558" s="7">
        <f>(F558+G558)/2</f>
        <v>1150</v>
      </c>
      <c r="I558" s="9">
        <v>10</v>
      </c>
      <c r="J558" s="10" t="s">
        <v>34</v>
      </c>
      <c r="K558" s="8" t="s">
        <v>42</v>
      </c>
      <c r="L558" s="8" t="s">
        <v>43</v>
      </c>
      <c r="M558" s="8" t="s">
        <v>140</v>
      </c>
      <c r="N558" s="8"/>
      <c r="O558" s="8" t="s">
        <v>71</v>
      </c>
      <c r="P558" s="11">
        <v>5.9</v>
      </c>
      <c r="Q558" s="11">
        <v>9.8000000000000007</v>
      </c>
      <c r="R558" s="11">
        <v>8</v>
      </c>
      <c r="S558" s="11">
        <f>P558*4</f>
        <v>23.6</v>
      </c>
      <c r="T558" s="11">
        <f>Q558*4</f>
        <v>39.200000000000003</v>
      </c>
      <c r="U558" s="11">
        <f>R558*4</f>
        <v>32</v>
      </c>
      <c r="V558" s="12">
        <f>4/3*3.14*U558^2*T558</f>
        <v>168056.14933333333</v>
      </c>
      <c r="W558" s="12">
        <f>V558/1000</f>
        <v>168.05614933333334</v>
      </c>
    </row>
    <row r="559" spans="1:23" x14ac:dyDescent="0.25">
      <c r="A559" s="7">
        <v>561</v>
      </c>
      <c r="B559" s="8" t="s">
        <v>683</v>
      </c>
      <c r="C559" s="8" t="s">
        <v>689</v>
      </c>
      <c r="D559" s="7" t="s">
        <v>413</v>
      </c>
      <c r="E559" s="8" t="s">
        <v>51</v>
      </c>
      <c r="F559" s="7">
        <v>1000</v>
      </c>
      <c r="G559" s="7">
        <v>1300</v>
      </c>
      <c r="H559" s="7">
        <f>(F559+G559)/2</f>
        <v>1150</v>
      </c>
      <c r="I559" s="9">
        <v>10</v>
      </c>
      <c r="J559" s="10" t="s">
        <v>81</v>
      </c>
      <c r="K559" s="8" t="s">
        <v>108</v>
      </c>
      <c r="L559" s="8" t="s">
        <v>109</v>
      </c>
      <c r="M559" s="8" t="s">
        <v>39</v>
      </c>
      <c r="N559" s="8" t="s">
        <v>452</v>
      </c>
      <c r="O559" s="8" t="s">
        <v>71</v>
      </c>
      <c r="P559" s="11">
        <v>11</v>
      </c>
      <c r="Q559" s="11">
        <v>17</v>
      </c>
      <c r="R559" s="11">
        <v>13.3</v>
      </c>
      <c r="S559" s="11">
        <f>P559*4</f>
        <v>44</v>
      </c>
      <c r="T559" s="11">
        <f>Q559*4</f>
        <v>68</v>
      </c>
      <c r="U559" s="11">
        <f>R559*4</f>
        <v>53.2</v>
      </c>
      <c r="V559" s="12">
        <f>4/3*3.14*U559^2*T559</f>
        <v>805750.45973333332</v>
      </c>
      <c r="W559" s="12">
        <f>V559/1000</f>
        <v>805.75045973333329</v>
      </c>
    </row>
    <row r="560" spans="1:23" x14ac:dyDescent="0.25">
      <c r="A560" s="7">
        <v>562</v>
      </c>
      <c r="B560" s="8" t="s">
        <v>683</v>
      </c>
      <c r="C560" s="8" t="s">
        <v>690</v>
      </c>
      <c r="D560" s="7" t="s">
        <v>413</v>
      </c>
      <c r="E560" s="8" t="s">
        <v>51</v>
      </c>
      <c r="F560" s="7">
        <v>1000</v>
      </c>
      <c r="G560" s="7">
        <v>1300</v>
      </c>
      <c r="H560" s="7">
        <f>(F560+G560)/2</f>
        <v>1150</v>
      </c>
      <c r="I560" s="9">
        <v>6</v>
      </c>
      <c r="J560" s="10" t="s">
        <v>34</v>
      </c>
      <c r="K560" s="8" t="s">
        <v>42</v>
      </c>
      <c r="L560" s="8" t="s">
        <v>43</v>
      </c>
      <c r="M560" s="8" t="s">
        <v>39</v>
      </c>
      <c r="N560" s="8"/>
      <c r="O560" s="8" t="s">
        <v>71</v>
      </c>
      <c r="P560" s="11">
        <v>2.6</v>
      </c>
      <c r="Q560" s="11">
        <v>8.9</v>
      </c>
      <c r="R560" s="11">
        <v>8.6</v>
      </c>
      <c r="S560" s="11">
        <f>P560*4</f>
        <v>10.4</v>
      </c>
      <c r="T560" s="11">
        <f>Q560*4</f>
        <v>35.6</v>
      </c>
      <c r="U560" s="11">
        <f>R560*4</f>
        <v>34.4</v>
      </c>
      <c r="V560" s="12">
        <f>(4/3)*3.14*(U560/2)^3</f>
        <v>21303.635626666663</v>
      </c>
      <c r="W560" s="12">
        <f>V560/1000</f>
        <v>21.303635626666662</v>
      </c>
    </row>
    <row r="561" spans="1:23" x14ac:dyDescent="0.25">
      <c r="A561" s="7">
        <v>563</v>
      </c>
      <c r="B561" s="8" t="s">
        <v>683</v>
      </c>
      <c r="C561" s="8" t="s">
        <v>691</v>
      </c>
      <c r="D561" s="7" t="s">
        <v>413</v>
      </c>
      <c r="E561" s="8" t="s">
        <v>51</v>
      </c>
      <c r="F561" s="7">
        <v>1000</v>
      </c>
      <c r="G561" s="7">
        <v>1300</v>
      </c>
      <c r="H561" s="7">
        <f>(F561+G561)/2</f>
        <v>1150</v>
      </c>
      <c r="I561" s="9">
        <v>11</v>
      </c>
      <c r="J561" s="10" t="s">
        <v>65</v>
      </c>
      <c r="K561" s="8" t="s">
        <v>77</v>
      </c>
      <c r="L561" s="8" t="s">
        <v>77</v>
      </c>
      <c r="M561" s="8" t="s">
        <v>39</v>
      </c>
      <c r="N561" s="8"/>
      <c r="O561" s="8" t="s">
        <v>71</v>
      </c>
      <c r="P561" s="11">
        <v>1.6</v>
      </c>
      <c r="Q561" s="11">
        <v>15.6</v>
      </c>
      <c r="R561" s="11">
        <v>3.7</v>
      </c>
      <c r="S561" s="11">
        <f>P561*4</f>
        <v>6.4</v>
      </c>
      <c r="T561" s="11">
        <f>Q561*4</f>
        <v>62.4</v>
      </c>
      <c r="U561" s="11">
        <f>R561*4</f>
        <v>14.8</v>
      </c>
      <c r="V561" s="12">
        <f>4/3*3.14*U561^2*T561</f>
        <v>57223.761920000004</v>
      </c>
      <c r="W561" s="12">
        <f>V561/1000</f>
        <v>57.223761920000001</v>
      </c>
    </row>
    <row r="562" spans="1:23" x14ac:dyDescent="0.25">
      <c r="A562" s="7">
        <v>564</v>
      </c>
      <c r="B562" s="8" t="s">
        <v>683</v>
      </c>
      <c r="C562" s="8" t="s">
        <v>692</v>
      </c>
      <c r="D562" s="7" t="s">
        <v>413</v>
      </c>
      <c r="E562" s="8" t="s">
        <v>51</v>
      </c>
      <c r="F562" s="7">
        <v>1000</v>
      </c>
      <c r="G562" s="7">
        <v>1300</v>
      </c>
      <c r="H562" s="7">
        <f>(F562+G562)/2</f>
        <v>1150</v>
      </c>
      <c r="I562" s="9">
        <v>2</v>
      </c>
      <c r="J562" s="10" t="s">
        <v>26</v>
      </c>
      <c r="K562" s="8" t="s">
        <v>137</v>
      </c>
      <c r="L562" s="8" t="s">
        <v>138</v>
      </c>
      <c r="M562" s="8" t="s">
        <v>140</v>
      </c>
      <c r="N562" s="8"/>
      <c r="O562" s="8" t="s">
        <v>71</v>
      </c>
      <c r="P562" s="11">
        <v>4.5999999999999996</v>
      </c>
      <c r="Q562" s="11">
        <v>3.3</v>
      </c>
      <c r="R562" s="11">
        <v>4.5999999999999996</v>
      </c>
      <c r="S562" s="11">
        <f>P562*4</f>
        <v>18.399999999999999</v>
      </c>
      <c r="T562" s="11">
        <f>Q562*4</f>
        <v>13.2</v>
      </c>
      <c r="U562" s="11">
        <f>R562*4</f>
        <v>18.399999999999999</v>
      </c>
      <c r="V562" s="12">
        <f>(1/3)*3.14*T562^2*(3*(U562/2)-T562)</f>
        <v>2626.1452799999997</v>
      </c>
      <c r="W562" s="12">
        <f>V562/1000</f>
        <v>2.6261452799999998</v>
      </c>
    </row>
    <row r="563" spans="1:23" x14ac:dyDescent="0.25">
      <c r="A563" s="7">
        <v>565</v>
      </c>
      <c r="B563" s="8" t="s">
        <v>683</v>
      </c>
      <c r="C563" s="8" t="s">
        <v>693</v>
      </c>
      <c r="D563" s="7" t="s">
        <v>413</v>
      </c>
      <c r="E563" s="8" t="s">
        <v>51</v>
      </c>
      <c r="F563" s="7">
        <v>1000</v>
      </c>
      <c r="G563" s="7">
        <v>1300</v>
      </c>
      <c r="H563" s="7">
        <f>(F563+G563)/2</f>
        <v>1150</v>
      </c>
      <c r="I563" s="9">
        <v>15</v>
      </c>
      <c r="J563" s="10" t="s">
        <v>26</v>
      </c>
      <c r="K563" s="8" t="s">
        <v>137</v>
      </c>
      <c r="L563" s="8" t="s">
        <v>138</v>
      </c>
      <c r="M563" s="8" t="s">
        <v>561</v>
      </c>
      <c r="N563" s="8"/>
      <c r="O563" s="8" t="s">
        <v>29</v>
      </c>
      <c r="P563" s="11">
        <v>4.7</v>
      </c>
      <c r="Q563" s="11">
        <v>5.2</v>
      </c>
      <c r="R563" s="11">
        <v>4.7</v>
      </c>
      <c r="S563" s="11">
        <f>P563*4</f>
        <v>18.8</v>
      </c>
      <c r="T563" s="11">
        <f>Q563*4</f>
        <v>20.8</v>
      </c>
      <c r="U563" s="11">
        <f>R563*4</f>
        <v>18.8</v>
      </c>
      <c r="V563" s="12"/>
      <c r="W563" s="12">
        <f>V563/1000</f>
        <v>0</v>
      </c>
    </row>
    <row r="564" spans="1:23" x14ac:dyDescent="0.25">
      <c r="A564" s="7">
        <v>566</v>
      </c>
      <c r="B564" s="8" t="s">
        <v>683</v>
      </c>
      <c r="C564" s="8" t="s">
        <v>694</v>
      </c>
      <c r="D564" s="7" t="s">
        <v>413</v>
      </c>
      <c r="E564" s="8" t="s">
        <v>51</v>
      </c>
      <c r="F564" s="7">
        <v>1000</v>
      </c>
      <c r="G564" s="7">
        <v>1300</v>
      </c>
      <c r="H564" s="7">
        <f>(F564+G564)/2</f>
        <v>1150</v>
      </c>
      <c r="I564" s="9">
        <v>4</v>
      </c>
      <c r="J564" s="10" t="s">
        <v>65</v>
      </c>
      <c r="K564" s="8" t="s">
        <v>27</v>
      </c>
      <c r="L564" s="8" t="s">
        <v>28</v>
      </c>
      <c r="M564" s="8" t="s">
        <v>140</v>
      </c>
      <c r="N564" s="8"/>
      <c r="O564" s="8" t="s">
        <v>71</v>
      </c>
      <c r="P564" s="11">
        <v>3.4</v>
      </c>
      <c r="Q564" s="11">
        <v>2.9</v>
      </c>
      <c r="R564" s="11">
        <v>3.4</v>
      </c>
      <c r="S564" s="11">
        <f>P564*4</f>
        <v>13.6</v>
      </c>
      <c r="T564" s="11">
        <f>Q564*4</f>
        <v>11.6</v>
      </c>
      <c r="U564" s="11">
        <f>R564*4</f>
        <v>13.6</v>
      </c>
      <c r="V564" s="12">
        <f>(2/3)*3.14*(U564/2)^3</f>
        <v>658.2109866666666</v>
      </c>
      <c r="W564" s="12">
        <f>V564/1000</f>
        <v>0.65821098666666655</v>
      </c>
    </row>
    <row r="565" spans="1:23" x14ac:dyDescent="0.25">
      <c r="A565" s="7">
        <v>567</v>
      </c>
      <c r="B565" s="8" t="s">
        <v>683</v>
      </c>
      <c r="C565" s="8" t="s">
        <v>695</v>
      </c>
      <c r="D565" s="7" t="s">
        <v>413</v>
      </c>
      <c r="E565" s="8" t="s">
        <v>51</v>
      </c>
      <c r="F565" s="7">
        <v>1000</v>
      </c>
      <c r="G565" s="7">
        <v>1300</v>
      </c>
      <c r="H565" s="7">
        <f>(F565+G565)/2</f>
        <v>1150</v>
      </c>
      <c r="I565" s="9">
        <v>4</v>
      </c>
      <c r="J565" s="10" t="s">
        <v>65</v>
      </c>
      <c r="K565" s="8" t="s">
        <v>27</v>
      </c>
      <c r="L565" s="8" t="s">
        <v>28</v>
      </c>
      <c r="M565" s="8" t="s">
        <v>140</v>
      </c>
      <c r="N565" s="8"/>
      <c r="O565" s="8" t="s">
        <v>71</v>
      </c>
      <c r="P565" s="11">
        <v>3.3</v>
      </c>
      <c r="Q565" s="11">
        <v>1.3</v>
      </c>
      <c r="R565" s="11">
        <v>3.3</v>
      </c>
      <c r="S565" s="11">
        <f>P565*4</f>
        <v>13.2</v>
      </c>
      <c r="T565" s="11">
        <f>Q565*4</f>
        <v>5.2</v>
      </c>
      <c r="U565" s="11">
        <f>R565*4</f>
        <v>13.2</v>
      </c>
      <c r="V565" s="12">
        <f>(2/3)*3.14*(U565/2)^3</f>
        <v>601.82495999999992</v>
      </c>
      <c r="W565" s="12">
        <f>V565/1000</f>
        <v>0.60182495999999996</v>
      </c>
    </row>
    <row r="566" spans="1:23" x14ac:dyDescent="0.25">
      <c r="A566" s="7">
        <v>568</v>
      </c>
      <c r="B566" s="8" t="s">
        <v>683</v>
      </c>
      <c r="C566" s="8" t="s">
        <v>696</v>
      </c>
      <c r="D566" s="7" t="s">
        <v>413</v>
      </c>
      <c r="E566" s="8" t="s">
        <v>51</v>
      </c>
      <c r="F566" s="7">
        <v>1000</v>
      </c>
      <c r="G566" s="7">
        <v>1300</v>
      </c>
      <c r="H566" s="7">
        <f>(F566+G566)/2</f>
        <v>1150</v>
      </c>
      <c r="I566" s="9">
        <v>14</v>
      </c>
      <c r="J566" s="10" t="s">
        <v>26</v>
      </c>
      <c r="K566" s="8" t="s">
        <v>77</v>
      </c>
      <c r="L566" s="8" t="s">
        <v>77</v>
      </c>
      <c r="M566" s="8" t="s">
        <v>437</v>
      </c>
      <c r="N566" s="8"/>
      <c r="O566" s="8" t="s">
        <v>71</v>
      </c>
      <c r="P566" s="11">
        <v>2.1</v>
      </c>
      <c r="Q566" s="11">
        <v>7.2</v>
      </c>
      <c r="R566" s="11">
        <v>4.4000000000000004</v>
      </c>
      <c r="S566" s="11">
        <f>P566*4</f>
        <v>8.4</v>
      </c>
      <c r="T566" s="11">
        <f>Q566*4</f>
        <v>28.8</v>
      </c>
      <c r="U566" s="11">
        <f>R566*4</f>
        <v>17.600000000000001</v>
      </c>
      <c r="V566" s="12"/>
      <c r="W566" s="12">
        <f>V566/1000</f>
        <v>0</v>
      </c>
    </row>
    <row r="567" spans="1:23" x14ac:dyDescent="0.25">
      <c r="A567" s="7">
        <v>569</v>
      </c>
      <c r="B567" s="8" t="s">
        <v>683</v>
      </c>
      <c r="C567" s="8" t="s">
        <v>697</v>
      </c>
      <c r="D567" s="7" t="s">
        <v>413</v>
      </c>
      <c r="E567" s="8" t="s">
        <v>51</v>
      </c>
      <c r="F567" s="7">
        <v>1000</v>
      </c>
      <c r="G567" s="7">
        <v>1300</v>
      </c>
      <c r="H567" s="7">
        <f>(F567+G567)/2</f>
        <v>1150</v>
      </c>
      <c r="I567" s="9">
        <v>2</v>
      </c>
      <c r="J567" s="10" t="s">
        <v>65</v>
      </c>
      <c r="K567" s="8" t="s">
        <v>27</v>
      </c>
      <c r="L567" s="8" t="s">
        <v>28</v>
      </c>
      <c r="M567" s="8" t="s">
        <v>39</v>
      </c>
      <c r="N567" s="8"/>
      <c r="O567" s="8" t="s">
        <v>71</v>
      </c>
      <c r="P567" s="11">
        <v>2.4</v>
      </c>
      <c r="Q567" s="11">
        <v>1.7</v>
      </c>
      <c r="R567" s="11">
        <v>2.4</v>
      </c>
      <c r="S567" s="11">
        <f>P567*4</f>
        <v>9.6</v>
      </c>
      <c r="T567" s="11">
        <f>Q567*4</f>
        <v>6.8</v>
      </c>
      <c r="U567" s="11">
        <f>R567*4</f>
        <v>9.6</v>
      </c>
      <c r="V567" s="12">
        <f>(1/3)*3.14*T567^2*(3*(U567/2)-T567)</f>
        <v>367.82378666666654</v>
      </c>
      <c r="W567" s="12">
        <f>V567/1000</f>
        <v>0.36782378666666654</v>
      </c>
    </row>
    <row r="568" spans="1:23" x14ac:dyDescent="0.25">
      <c r="A568" s="7">
        <v>570</v>
      </c>
      <c r="B568" s="8" t="s">
        <v>683</v>
      </c>
      <c r="C568" s="8" t="s">
        <v>698</v>
      </c>
      <c r="D568" s="7" t="s">
        <v>413</v>
      </c>
      <c r="E568" s="8" t="s">
        <v>51</v>
      </c>
      <c r="F568" s="7">
        <v>1000</v>
      </c>
      <c r="G568" s="7">
        <v>1300</v>
      </c>
      <c r="H568" s="7">
        <f>(F568+G568)/2</f>
        <v>1150</v>
      </c>
      <c r="I568" s="9">
        <v>4</v>
      </c>
      <c r="J568" s="10" t="s">
        <v>26</v>
      </c>
      <c r="K568" s="8" t="s">
        <v>108</v>
      </c>
      <c r="L568" s="8" t="s">
        <v>109</v>
      </c>
      <c r="M568" s="8" t="s">
        <v>132</v>
      </c>
      <c r="N568" s="8"/>
      <c r="O568" s="8" t="s">
        <v>71</v>
      </c>
      <c r="P568" s="11">
        <v>5.5</v>
      </c>
      <c r="Q568" s="11">
        <v>5.0999999999999996</v>
      </c>
      <c r="R568" s="11">
        <v>5.5</v>
      </c>
      <c r="S568" s="11">
        <f>P568*4</f>
        <v>22</v>
      </c>
      <c r="T568" s="11">
        <f>Q568*4</f>
        <v>20.399999999999999</v>
      </c>
      <c r="U568" s="11">
        <f>R568*4</f>
        <v>22</v>
      </c>
      <c r="V568" s="12">
        <f>(2/3)*3.14*(U568/2)^3</f>
        <v>2786.2266666666665</v>
      </c>
      <c r="W568" s="12">
        <f>V568/1000</f>
        <v>2.7862266666666664</v>
      </c>
    </row>
    <row r="569" spans="1:23" x14ac:dyDescent="0.25">
      <c r="A569" s="7">
        <v>571</v>
      </c>
      <c r="B569" s="8" t="s">
        <v>699</v>
      </c>
      <c r="C569" s="8" t="s">
        <v>700</v>
      </c>
      <c r="D569" s="7" t="s">
        <v>701</v>
      </c>
      <c r="E569" s="8" t="s">
        <v>25</v>
      </c>
      <c r="F569" s="7">
        <v>-1800</v>
      </c>
      <c r="G569" s="7">
        <v>-1000</v>
      </c>
      <c r="H569" s="7">
        <f>(F569+G569)/2</f>
        <v>-1400</v>
      </c>
      <c r="I569" s="9">
        <v>5</v>
      </c>
      <c r="J569" s="10"/>
      <c r="K569" s="8" t="s">
        <v>27</v>
      </c>
      <c r="L569" s="8" t="s">
        <v>28</v>
      </c>
      <c r="M569" s="8"/>
      <c r="N569" s="8"/>
      <c r="O569" s="8" t="s">
        <v>702</v>
      </c>
      <c r="P569" s="11"/>
      <c r="Q569" s="11"/>
      <c r="R569" s="11"/>
      <c r="S569" s="11">
        <f>P569*4</f>
        <v>0</v>
      </c>
      <c r="T569" s="11">
        <f>Q569*4</f>
        <v>0</v>
      </c>
      <c r="U569" s="11">
        <f>R569*4</f>
        <v>0</v>
      </c>
      <c r="V569" s="12">
        <f>(4/3)*3.14*(U569/2)^3</f>
        <v>0</v>
      </c>
      <c r="W569" s="12">
        <f>V569/1000</f>
        <v>0</v>
      </c>
    </row>
    <row r="570" spans="1:23" x14ac:dyDescent="0.25">
      <c r="A570" s="7">
        <v>572</v>
      </c>
      <c r="B570" s="8" t="s">
        <v>699</v>
      </c>
      <c r="C570" s="8" t="s">
        <v>703</v>
      </c>
      <c r="D570" s="7" t="s">
        <v>701</v>
      </c>
      <c r="E570" s="8" t="s">
        <v>25</v>
      </c>
      <c r="F570" s="7">
        <v>-1800</v>
      </c>
      <c r="G570" s="7">
        <v>-1000</v>
      </c>
      <c r="H570" s="7">
        <f>(F570+G570)/2</f>
        <v>-1400</v>
      </c>
      <c r="I570" s="9">
        <v>5</v>
      </c>
      <c r="J570" s="10"/>
      <c r="K570" s="8" t="s">
        <v>27</v>
      </c>
      <c r="L570" s="8" t="s">
        <v>28</v>
      </c>
      <c r="M570" s="8"/>
      <c r="N570" s="8"/>
      <c r="O570" s="8" t="s">
        <v>702</v>
      </c>
      <c r="P570" s="11"/>
      <c r="Q570" s="11"/>
      <c r="R570" s="11"/>
      <c r="S570" s="11">
        <f>P570*4</f>
        <v>0</v>
      </c>
      <c r="T570" s="11">
        <f>Q570*4</f>
        <v>0</v>
      </c>
      <c r="U570" s="11">
        <f>R570*4</f>
        <v>0</v>
      </c>
      <c r="V570" s="12">
        <f>(4/3)*3.14*(U570/2)^3</f>
        <v>0</v>
      </c>
      <c r="W570" s="12">
        <f>V570/1000</f>
        <v>0</v>
      </c>
    </row>
    <row r="571" spans="1:23" x14ac:dyDescent="0.25">
      <c r="A571" s="7">
        <v>573</v>
      </c>
      <c r="B571" s="8" t="s">
        <v>699</v>
      </c>
      <c r="C571" s="8" t="s">
        <v>704</v>
      </c>
      <c r="D571" s="7" t="s">
        <v>705</v>
      </c>
      <c r="E571" s="8" t="s">
        <v>25</v>
      </c>
      <c r="F571" s="7">
        <v>-1500</v>
      </c>
      <c r="G571" s="7">
        <v>-700</v>
      </c>
      <c r="H571" s="7">
        <f>(F571+G571)/2</f>
        <v>-1100</v>
      </c>
      <c r="I571" s="9">
        <v>5</v>
      </c>
      <c r="J571" s="10"/>
      <c r="K571" s="8" t="s">
        <v>27</v>
      </c>
      <c r="L571" s="8" t="s">
        <v>28</v>
      </c>
      <c r="M571" s="8"/>
      <c r="N571" s="8"/>
      <c r="O571" s="8" t="s">
        <v>702</v>
      </c>
      <c r="P571" s="11"/>
      <c r="Q571" s="11"/>
      <c r="R571" s="11"/>
      <c r="S571" s="11">
        <f>P571*4</f>
        <v>0</v>
      </c>
      <c r="T571" s="11">
        <f>Q571*4</f>
        <v>0</v>
      </c>
      <c r="U571" s="11">
        <f>R571*4</f>
        <v>0</v>
      </c>
      <c r="V571" s="12">
        <f>(4/3)*3.14*(U571/2)^3</f>
        <v>0</v>
      </c>
      <c r="W571" s="12">
        <f>V571/1000</f>
        <v>0</v>
      </c>
    </row>
    <row r="572" spans="1:23" x14ac:dyDescent="0.25">
      <c r="A572" s="7">
        <v>574</v>
      </c>
      <c r="B572" s="8" t="s">
        <v>699</v>
      </c>
      <c r="C572" s="8" t="s">
        <v>706</v>
      </c>
      <c r="D572" s="7" t="s">
        <v>705</v>
      </c>
      <c r="E572" s="8" t="s">
        <v>25</v>
      </c>
      <c r="F572" s="7">
        <v>-1500</v>
      </c>
      <c r="G572" s="7">
        <v>-700</v>
      </c>
      <c r="H572" s="7">
        <f>(F572+G572)/2</f>
        <v>-1100</v>
      </c>
      <c r="I572" s="9">
        <v>5</v>
      </c>
      <c r="J572" s="10"/>
      <c r="K572" s="8" t="s">
        <v>157</v>
      </c>
      <c r="L572" s="8" t="s">
        <v>38</v>
      </c>
      <c r="M572" s="8"/>
      <c r="N572" s="8"/>
      <c r="O572" s="8" t="s">
        <v>702</v>
      </c>
      <c r="P572" s="11"/>
      <c r="Q572" s="11"/>
      <c r="R572" s="11"/>
      <c r="S572" s="11">
        <f>P572*4</f>
        <v>0</v>
      </c>
      <c r="T572" s="11">
        <f>Q572*4</f>
        <v>0</v>
      </c>
      <c r="U572" s="11">
        <f>R572*4</f>
        <v>0</v>
      </c>
      <c r="V572" s="12">
        <f>(4/3)*3.14*(U572/2)^3</f>
        <v>0</v>
      </c>
      <c r="W572" s="12">
        <f>V572/1000</f>
        <v>0</v>
      </c>
    </row>
    <row r="573" spans="1:23" x14ac:dyDescent="0.25">
      <c r="A573" s="7">
        <v>575</v>
      </c>
      <c r="B573" s="8" t="s">
        <v>699</v>
      </c>
      <c r="C573" s="8" t="s">
        <v>707</v>
      </c>
      <c r="D573" s="7" t="s">
        <v>708</v>
      </c>
      <c r="E573" s="8" t="s">
        <v>25</v>
      </c>
      <c r="F573" s="7">
        <v>-1200</v>
      </c>
      <c r="G573" s="7">
        <v>-700</v>
      </c>
      <c r="H573" s="7">
        <f>(F573+G573)/2</f>
        <v>-950</v>
      </c>
      <c r="I573" s="9">
        <v>5</v>
      </c>
      <c r="J573" s="10"/>
      <c r="K573" s="8" t="s">
        <v>157</v>
      </c>
      <c r="L573" s="8" t="s">
        <v>38</v>
      </c>
      <c r="M573" s="8"/>
      <c r="N573" s="8"/>
      <c r="O573" s="8" t="s">
        <v>702</v>
      </c>
      <c r="P573" s="11"/>
      <c r="Q573" s="11"/>
      <c r="R573" s="11"/>
      <c r="S573" s="11">
        <f>P573*4</f>
        <v>0</v>
      </c>
      <c r="T573" s="11">
        <f>Q573*4</f>
        <v>0</v>
      </c>
      <c r="U573" s="11">
        <f>R573*4</f>
        <v>0</v>
      </c>
      <c r="V573" s="12">
        <f>(4/3)*3.14*(U573/2)^3</f>
        <v>0</v>
      </c>
      <c r="W573" s="12">
        <f>V573/1000</f>
        <v>0</v>
      </c>
    </row>
    <row r="574" spans="1:23" x14ac:dyDescent="0.25">
      <c r="A574" s="7">
        <v>576</v>
      </c>
      <c r="B574" s="8" t="s">
        <v>699</v>
      </c>
      <c r="C574" s="8" t="s">
        <v>709</v>
      </c>
      <c r="D574" s="7" t="s">
        <v>708</v>
      </c>
      <c r="E574" s="8" t="s">
        <v>25</v>
      </c>
      <c r="F574" s="7">
        <v>-1200</v>
      </c>
      <c r="G574" s="7">
        <v>-700</v>
      </c>
      <c r="H574" s="7">
        <f>(F574+G574)/2</f>
        <v>-950</v>
      </c>
      <c r="I574" s="9">
        <v>5</v>
      </c>
      <c r="J574" s="10"/>
      <c r="K574" s="8" t="s">
        <v>42</v>
      </c>
      <c r="L574" s="8" t="s">
        <v>43</v>
      </c>
      <c r="M574" s="8"/>
      <c r="N574" s="8"/>
      <c r="O574" s="8" t="s">
        <v>702</v>
      </c>
      <c r="P574" s="11"/>
      <c r="Q574" s="11"/>
      <c r="R574" s="11"/>
      <c r="S574" s="11">
        <f>P574*4</f>
        <v>0</v>
      </c>
      <c r="T574" s="11">
        <f>Q574*4</f>
        <v>0</v>
      </c>
      <c r="U574" s="11">
        <f>R574*4</f>
        <v>0</v>
      </c>
      <c r="V574" s="12">
        <f>(4/3)*3.14*(U574/2)^3</f>
        <v>0</v>
      </c>
      <c r="W574" s="12">
        <f>V574/1000</f>
        <v>0</v>
      </c>
    </row>
    <row r="575" spans="1:23" x14ac:dyDescent="0.25">
      <c r="A575" s="7">
        <v>577</v>
      </c>
      <c r="B575" s="8" t="s">
        <v>699</v>
      </c>
      <c r="C575" s="8" t="s">
        <v>710</v>
      </c>
      <c r="D575" s="7" t="s">
        <v>708</v>
      </c>
      <c r="E575" s="8" t="s">
        <v>25</v>
      </c>
      <c r="F575" s="7">
        <v>-1200</v>
      </c>
      <c r="G575" s="7">
        <v>-700</v>
      </c>
      <c r="H575" s="7">
        <f>(F575+G575)/2</f>
        <v>-950</v>
      </c>
      <c r="I575" s="9">
        <v>5</v>
      </c>
      <c r="J575" s="10"/>
      <c r="K575" s="8" t="s">
        <v>42</v>
      </c>
      <c r="L575" s="8" t="s">
        <v>43</v>
      </c>
      <c r="M575" s="8"/>
      <c r="N575" s="8"/>
      <c r="O575" s="8" t="s">
        <v>702</v>
      </c>
      <c r="P575" s="11"/>
      <c r="Q575" s="11"/>
      <c r="R575" s="11"/>
      <c r="S575" s="11">
        <f>P575*4</f>
        <v>0</v>
      </c>
      <c r="T575" s="11">
        <f>Q575*4</f>
        <v>0</v>
      </c>
      <c r="U575" s="11">
        <f>R575*4</f>
        <v>0</v>
      </c>
      <c r="V575" s="12">
        <f>(4/3)*3.14*(U575/2)^3</f>
        <v>0</v>
      </c>
      <c r="W575" s="12">
        <f>V575/1000</f>
        <v>0</v>
      </c>
    </row>
    <row r="576" spans="1:23" x14ac:dyDescent="0.25">
      <c r="A576" s="7">
        <v>578</v>
      </c>
      <c r="B576" s="8" t="s">
        <v>699</v>
      </c>
      <c r="C576" s="8" t="s">
        <v>711</v>
      </c>
      <c r="D576" s="7" t="s">
        <v>708</v>
      </c>
      <c r="E576" s="8" t="s">
        <v>25</v>
      </c>
      <c r="F576" s="7">
        <v>-1200</v>
      </c>
      <c r="G576" s="7">
        <v>-700</v>
      </c>
      <c r="H576" s="7">
        <f>(F576+G576)/2</f>
        <v>-950</v>
      </c>
      <c r="I576" s="9">
        <v>5</v>
      </c>
      <c r="J576" s="10"/>
      <c r="K576" s="8" t="s">
        <v>42</v>
      </c>
      <c r="L576" s="8" t="s">
        <v>43</v>
      </c>
      <c r="M576" s="8"/>
      <c r="N576" s="8"/>
      <c r="O576" s="8" t="s">
        <v>702</v>
      </c>
      <c r="P576" s="11"/>
      <c r="Q576" s="11"/>
      <c r="R576" s="11"/>
      <c r="S576" s="11">
        <f>P576*4</f>
        <v>0</v>
      </c>
      <c r="T576" s="11">
        <f>Q576*4</f>
        <v>0</v>
      </c>
      <c r="U576" s="11">
        <f>R576*4</f>
        <v>0</v>
      </c>
      <c r="V576" s="12">
        <f>(4/3)*3.14*(U576/2)^3</f>
        <v>0</v>
      </c>
      <c r="W576" s="12">
        <f>V576/1000</f>
        <v>0</v>
      </c>
    </row>
    <row r="577" spans="1:23" x14ac:dyDescent="0.25">
      <c r="A577" s="7">
        <v>579</v>
      </c>
      <c r="B577" s="8" t="s">
        <v>699</v>
      </c>
      <c r="C577" s="8" t="s">
        <v>712</v>
      </c>
      <c r="D577" s="7" t="s">
        <v>708</v>
      </c>
      <c r="E577" s="8" t="s">
        <v>25</v>
      </c>
      <c r="F577" s="7">
        <v>-1200</v>
      </c>
      <c r="G577" s="7">
        <v>-700</v>
      </c>
      <c r="H577" s="7">
        <f>(F577+G577)/2</f>
        <v>-950</v>
      </c>
      <c r="I577" s="9">
        <v>5</v>
      </c>
      <c r="J577" s="10"/>
      <c r="K577" s="8" t="s">
        <v>42</v>
      </c>
      <c r="L577" s="8" t="s">
        <v>43</v>
      </c>
      <c r="M577" s="8"/>
      <c r="N577" s="8"/>
      <c r="O577" s="8" t="s">
        <v>702</v>
      </c>
      <c r="P577" s="11"/>
      <c r="Q577" s="11"/>
      <c r="R577" s="11"/>
      <c r="S577" s="11">
        <f>P577*4</f>
        <v>0</v>
      </c>
      <c r="T577" s="11">
        <f>Q577*4</f>
        <v>0</v>
      </c>
      <c r="U577" s="11">
        <f>R577*4</f>
        <v>0</v>
      </c>
      <c r="V577" s="12">
        <f>(4/3)*3.14*(U577/2)^3</f>
        <v>0</v>
      </c>
      <c r="W577" s="12">
        <f>V577/1000</f>
        <v>0</v>
      </c>
    </row>
    <row r="578" spans="1:23" x14ac:dyDescent="0.25">
      <c r="A578" s="7">
        <v>580</v>
      </c>
      <c r="B578" s="8" t="s">
        <v>699</v>
      </c>
      <c r="C578" s="8" t="s">
        <v>713</v>
      </c>
      <c r="D578" s="7" t="s">
        <v>708</v>
      </c>
      <c r="E578" s="8" t="s">
        <v>25</v>
      </c>
      <c r="F578" s="7">
        <v>-1200</v>
      </c>
      <c r="G578" s="7">
        <v>-700</v>
      </c>
      <c r="H578" s="7">
        <f>(F578+G578)/2</f>
        <v>-950</v>
      </c>
      <c r="I578" s="9">
        <v>4</v>
      </c>
      <c r="J578" s="10"/>
      <c r="K578" s="8" t="s">
        <v>27</v>
      </c>
      <c r="L578" s="8" t="s">
        <v>28</v>
      </c>
      <c r="M578" s="8"/>
      <c r="N578" s="8"/>
      <c r="O578" s="8" t="s">
        <v>702</v>
      </c>
      <c r="P578" s="11"/>
      <c r="Q578" s="11"/>
      <c r="R578" s="11"/>
      <c r="S578" s="11">
        <f>P578*4</f>
        <v>0</v>
      </c>
      <c r="T578" s="11">
        <f>Q578*4</f>
        <v>0</v>
      </c>
      <c r="U578" s="11">
        <f>R578*4</f>
        <v>0</v>
      </c>
      <c r="V578" s="12">
        <f>(2/3)*3.14*(U578/2)^3</f>
        <v>0</v>
      </c>
      <c r="W578" s="12">
        <f>V578/1000</f>
        <v>0</v>
      </c>
    </row>
    <row r="579" spans="1:23" x14ac:dyDescent="0.25">
      <c r="A579" s="7">
        <v>581</v>
      </c>
      <c r="B579" s="8" t="s">
        <v>699</v>
      </c>
      <c r="C579" s="8" t="s">
        <v>714</v>
      </c>
      <c r="D579" s="7" t="s">
        <v>715</v>
      </c>
      <c r="E579" s="8" t="s">
        <v>25</v>
      </c>
      <c r="F579" s="7">
        <v>-1000</v>
      </c>
      <c r="G579" s="7">
        <v>-700</v>
      </c>
      <c r="H579" s="7">
        <f>(F579+G579)/2</f>
        <v>-850</v>
      </c>
      <c r="I579" s="9">
        <v>4</v>
      </c>
      <c r="J579" s="10"/>
      <c r="K579" s="8" t="s">
        <v>27</v>
      </c>
      <c r="L579" s="8" t="s">
        <v>28</v>
      </c>
      <c r="M579" s="8"/>
      <c r="N579" s="8"/>
      <c r="O579" s="8" t="s">
        <v>702</v>
      </c>
      <c r="P579" s="11"/>
      <c r="Q579" s="11"/>
      <c r="R579" s="11"/>
      <c r="S579" s="11">
        <f>P579*4</f>
        <v>0</v>
      </c>
      <c r="T579" s="11">
        <f>Q579*4</f>
        <v>0</v>
      </c>
      <c r="U579" s="11">
        <f>R579*4</f>
        <v>0</v>
      </c>
      <c r="V579" s="12">
        <f>(2/3)*3.14*(U579/2)^3</f>
        <v>0</v>
      </c>
      <c r="W579" s="12">
        <f>V579/1000</f>
        <v>0</v>
      </c>
    </row>
    <row r="580" spans="1:23" x14ac:dyDescent="0.25">
      <c r="A580" s="7">
        <v>582</v>
      </c>
      <c r="B580" s="8" t="s">
        <v>699</v>
      </c>
      <c r="C580" s="8" t="s">
        <v>716</v>
      </c>
      <c r="D580" s="7" t="s">
        <v>715</v>
      </c>
      <c r="E580" s="8" t="s">
        <v>25</v>
      </c>
      <c r="F580" s="7">
        <v>-1000</v>
      </c>
      <c r="G580" s="7">
        <v>-700</v>
      </c>
      <c r="H580" s="7">
        <f>(F580+G580)/2</f>
        <v>-850</v>
      </c>
      <c r="I580" s="9">
        <v>5</v>
      </c>
      <c r="J580" s="10"/>
      <c r="K580" s="8" t="s">
        <v>42</v>
      </c>
      <c r="L580" s="8" t="s">
        <v>43</v>
      </c>
      <c r="M580" s="8"/>
      <c r="N580" s="8"/>
      <c r="O580" s="8" t="s">
        <v>702</v>
      </c>
      <c r="P580" s="11"/>
      <c r="Q580" s="11"/>
      <c r="R580" s="11"/>
      <c r="S580" s="11">
        <f>P580*4</f>
        <v>0</v>
      </c>
      <c r="T580" s="11">
        <f>Q580*4</f>
        <v>0</v>
      </c>
      <c r="U580" s="11">
        <f>R580*4</f>
        <v>0</v>
      </c>
      <c r="V580" s="12">
        <f>(4/3)*3.14*(U580/2)^3</f>
        <v>0</v>
      </c>
      <c r="W580" s="12">
        <f>V580/1000</f>
        <v>0</v>
      </c>
    </row>
    <row r="581" spans="1:23" x14ac:dyDescent="0.25">
      <c r="A581" s="7">
        <v>583</v>
      </c>
      <c r="B581" s="8" t="s">
        <v>699</v>
      </c>
      <c r="C581" s="8" t="s">
        <v>717</v>
      </c>
      <c r="D581" s="7" t="s">
        <v>718</v>
      </c>
      <c r="E581" s="8" t="s">
        <v>25</v>
      </c>
      <c r="F581" s="7">
        <v>-900</v>
      </c>
      <c r="G581" s="7">
        <v>-700</v>
      </c>
      <c r="H581" s="7">
        <f>(F581+G581)/2</f>
        <v>-800</v>
      </c>
      <c r="I581" s="9">
        <v>6</v>
      </c>
      <c r="J581" s="10"/>
      <c r="K581" s="8" t="s">
        <v>299</v>
      </c>
      <c r="L581" s="8" t="s">
        <v>43</v>
      </c>
      <c r="M581" s="8"/>
      <c r="N581" s="8"/>
      <c r="O581" s="8" t="s">
        <v>702</v>
      </c>
      <c r="P581" s="11"/>
      <c r="Q581" s="11"/>
      <c r="R581" s="11"/>
      <c r="S581" s="11">
        <f>P581*4</f>
        <v>0</v>
      </c>
      <c r="T581" s="11">
        <f>Q581*4</f>
        <v>0</v>
      </c>
      <c r="U581" s="11">
        <f>R581*4</f>
        <v>0</v>
      </c>
      <c r="V581" s="12">
        <f>(4/3)*3.14*(U581/2)^3</f>
        <v>0</v>
      </c>
      <c r="W581" s="12">
        <f>V581/1000</f>
        <v>0</v>
      </c>
    </row>
    <row r="582" spans="1:23" x14ac:dyDescent="0.25">
      <c r="A582" s="7">
        <v>584</v>
      </c>
      <c r="B582" s="8" t="s">
        <v>699</v>
      </c>
      <c r="C582" s="8" t="s">
        <v>719</v>
      </c>
      <c r="D582" s="7" t="s">
        <v>718</v>
      </c>
      <c r="E582" s="8" t="s">
        <v>25</v>
      </c>
      <c r="F582" s="7">
        <v>-900</v>
      </c>
      <c r="G582" s="7">
        <v>-700</v>
      </c>
      <c r="H582" s="7">
        <f>(F582+G582)/2</f>
        <v>-800</v>
      </c>
      <c r="I582" s="9">
        <v>6</v>
      </c>
      <c r="J582" s="10"/>
      <c r="K582" s="8" t="s">
        <v>299</v>
      </c>
      <c r="L582" s="8" t="s">
        <v>43</v>
      </c>
      <c r="M582" s="8"/>
      <c r="N582" s="8"/>
      <c r="O582" s="8" t="s">
        <v>702</v>
      </c>
      <c r="P582" s="11"/>
      <c r="Q582" s="11"/>
      <c r="R582" s="11"/>
      <c r="S582" s="11">
        <f>P582*4</f>
        <v>0</v>
      </c>
      <c r="T582" s="11">
        <f>Q582*4</f>
        <v>0</v>
      </c>
      <c r="U582" s="11">
        <f>R582*4</f>
        <v>0</v>
      </c>
      <c r="V582" s="12">
        <f>(4/3)*3.14*(U582/2)^3</f>
        <v>0</v>
      </c>
      <c r="W582" s="12">
        <f>V582/1000</f>
        <v>0</v>
      </c>
    </row>
    <row r="583" spans="1:23" x14ac:dyDescent="0.25">
      <c r="A583" s="7">
        <v>585</v>
      </c>
      <c r="B583" s="8" t="s">
        <v>699</v>
      </c>
      <c r="C583" s="8" t="s">
        <v>720</v>
      </c>
      <c r="D583" s="7" t="s">
        <v>718</v>
      </c>
      <c r="E583" s="8" t="s">
        <v>25</v>
      </c>
      <c r="F583" s="7">
        <v>-900</v>
      </c>
      <c r="G583" s="7">
        <v>-700</v>
      </c>
      <c r="H583" s="7">
        <f>(F583+G583)/2</f>
        <v>-800</v>
      </c>
      <c r="I583" s="9">
        <v>5</v>
      </c>
      <c r="J583" s="10"/>
      <c r="K583" s="8" t="s">
        <v>42</v>
      </c>
      <c r="L583" s="8" t="s">
        <v>43</v>
      </c>
      <c r="M583" s="8"/>
      <c r="N583" s="8"/>
      <c r="O583" s="8" t="s">
        <v>702</v>
      </c>
      <c r="P583" s="11"/>
      <c r="Q583" s="11"/>
      <c r="R583" s="11"/>
      <c r="S583" s="11">
        <f>P583*4</f>
        <v>0</v>
      </c>
      <c r="T583" s="11">
        <f>Q583*4</f>
        <v>0</v>
      </c>
      <c r="U583" s="11">
        <f>R583*4</f>
        <v>0</v>
      </c>
      <c r="V583" s="12">
        <f>(4/3)*3.14*(U583/2)^3</f>
        <v>0</v>
      </c>
      <c r="W583" s="12">
        <f>V583/1000</f>
        <v>0</v>
      </c>
    </row>
    <row r="584" spans="1:23" x14ac:dyDescent="0.25">
      <c r="A584" s="7">
        <v>586</v>
      </c>
      <c r="B584" s="8" t="s">
        <v>699</v>
      </c>
      <c r="C584" s="8" t="s">
        <v>721</v>
      </c>
      <c r="D584" s="7" t="s">
        <v>722</v>
      </c>
      <c r="E584" s="8" t="s">
        <v>25</v>
      </c>
      <c r="F584" s="7">
        <v>-700</v>
      </c>
      <c r="G584" s="7">
        <v>-400</v>
      </c>
      <c r="H584" s="7">
        <f>(F584+G584)/2</f>
        <v>-550</v>
      </c>
      <c r="I584" s="9">
        <v>5</v>
      </c>
      <c r="J584" s="10"/>
      <c r="K584" s="8" t="s">
        <v>96</v>
      </c>
      <c r="L584" s="8" t="s">
        <v>96</v>
      </c>
      <c r="M584" s="8"/>
      <c r="N584" s="8"/>
      <c r="O584" s="8" t="s">
        <v>702</v>
      </c>
      <c r="P584" s="11"/>
      <c r="Q584" s="11"/>
      <c r="R584" s="11"/>
      <c r="S584" s="11">
        <f>P584*4</f>
        <v>0</v>
      </c>
      <c r="T584" s="11">
        <f>Q584*4</f>
        <v>0</v>
      </c>
      <c r="U584" s="11">
        <f>R584*4</f>
        <v>0</v>
      </c>
      <c r="V584" s="12">
        <f>(4/3)*3.14*(U584/2)^3</f>
        <v>0</v>
      </c>
      <c r="W584" s="12">
        <f>V584/1000</f>
        <v>0</v>
      </c>
    </row>
    <row r="585" spans="1:23" x14ac:dyDescent="0.25">
      <c r="A585" s="7">
        <v>587</v>
      </c>
      <c r="B585" s="8" t="s">
        <v>699</v>
      </c>
      <c r="C585" s="8" t="s">
        <v>723</v>
      </c>
      <c r="D585" s="7" t="s">
        <v>724</v>
      </c>
      <c r="E585" s="8" t="s">
        <v>25</v>
      </c>
      <c r="F585" s="7">
        <v>-900</v>
      </c>
      <c r="G585" s="7">
        <v>-400</v>
      </c>
      <c r="H585" s="7">
        <f>(F585+G585)/2</f>
        <v>-650</v>
      </c>
      <c r="I585" s="9">
        <v>4</v>
      </c>
      <c r="J585" s="10"/>
      <c r="K585" s="8" t="s">
        <v>77</v>
      </c>
      <c r="L585" s="8" t="s">
        <v>77</v>
      </c>
      <c r="M585" s="8"/>
      <c r="N585" s="8"/>
      <c r="O585" s="8" t="s">
        <v>702</v>
      </c>
      <c r="P585" s="11"/>
      <c r="Q585" s="11"/>
      <c r="R585" s="11"/>
      <c r="S585" s="11">
        <f>P585*4</f>
        <v>0</v>
      </c>
      <c r="T585" s="11">
        <f>Q585*4</f>
        <v>0</v>
      </c>
      <c r="U585" s="11">
        <f>R585*4</f>
        <v>0</v>
      </c>
      <c r="V585" s="12">
        <f>(2/3)*3.14*(U585/2)^3</f>
        <v>0</v>
      </c>
      <c r="W585" s="12">
        <f>V585/1000</f>
        <v>0</v>
      </c>
    </row>
    <row r="586" spans="1:23" x14ac:dyDescent="0.25">
      <c r="A586" s="7">
        <v>588</v>
      </c>
      <c r="B586" s="8" t="s">
        <v>699</v>
      </c>
      <c r="C586" s="8" t="s">
        <v>725</v>
      </c>
      <c r="D586" s="7" t="s">
        <v>718</v>
      </c>
      <c r="E586" s="8" t="s">
        <v>25</v>
      </c>
      <c r="F586" s="7">
        <v>-900</v>
      </c>
      <c r="G586" s="7">
        <v>-400</v>
      </c>
      <c r="H586" s="7">
        <f>(F586+G586)/2</f>
        <v>-650</v>
      </c>
      <c r="I586" s="9">
        <v>6</v>
      </c>
      <c r="J586" s="10"/>
      <c r="K586" s="8" t="s">
        <v>42</v>
      </c>
      <c r="L586" s="8" t="s">
        <v>43</v>
      </c>
      <c r="M586" s="8"/>
      <c r="N586" s="8"/>
      <c r="O586" s="8" t="s">
        <v>702</v>
      </c>
      <c r="P586" s="11"/>
      <c r="Q586" s="11"/>
      <c r="R586" s="11"/>
      <c r="S586" s="11">
        <f>P586*4</f>
        <v>0</v>
      </c>
      <c r="T586" s="11">
        <f>Q586*4</f>
        <v>0</v>
      </c>
      <c r="U586" s="11">
        <f>R586*4</f>
        <v>0</v>
      </c>
      <c r="V586" s="12">
        <f>(4/3)*3.14*(U586/2)^3</f>
        <v>0</v>
      </c>
      <c r="W586" s="12">
        <f>V586/1000</f>
        <v>0</v>
      </c>
    </row>
    <row r="587" spans="1:23" x14ac:dyDescent="0.25">
      <c r="A587" s="7">
        <v>589</v>
      </c>
      <c r="B587" s="8" t="s">
        <v>726</v>
      </c>
      <c r="C587" s="8" t="s">
        <v>727</v>
      </c>
      <c r="D587" s="7" t="s">
        <v>728</v>
      </c>
      <c r="E587" s="8" t="s">
        <v>25</v>
      </c>
      <c r="F587" s="7">
        <v>-2010</v>
      </c>
      <c r="G587" s="7">
        <v>-1360</v>
      </c>
      <c r="H587" s="7">
        <f>(F587+G587)/2</f>
        <v>-1685</v>
      </c>
      <c r="I587" s="9">
        <v>1</v>
      </c>
      <c r="J587" s="10"/>
      <c r="K587" s="8"/>
      <c r="L587" s="8"/>
      <c r="M587" s="8"/>
      <c r="N587" s="8"/>
      <c r="O587" s="8" t="s">
        <v>702</v>
      </c>
      <c r="P587" s="11"/>
      <c r="Q587" s="11"/>
      <c r="R587" s="11"/>
      <c r="S587" s="11">
        <f>P587*4</f>
        <v>0</v>
      </c>
      <c r="T587" s="11">
        <f>Q587*4</f>
        <v>0</v>
      </c>
      <c r="U587" s="11">
        <f>R587*4</f>
        <v>0</v>
      </c>
      <c r="V587" s="12">
        <f>(1/3)*3.14*T587^2*(3*(U587/2)-T587)</f>
        <v>0</v>
      </c>
      <c r="W587" s="12">
        <f>V587/1000</f>
        <v>0</v>
      </c>
    </row>
    <row r="588" spans="1:23" x14ac:dyDescent="0.25">
      <c r="A588" s="7">
        <v>590</v>
      </c>
      <c r="B588" s="8" t="s">
        <v>726</v>
      </c>
      <c r="C588" s="8" t="s">
        <v>729</v>
      </c>
      <c r="D588" s="7" t="s">
        <v>728</v>
      </c>
      <c r="E588" s="8" t="s">
        <v>25</v>
      </c>
      <c r="F588" s="7">
        <v>-2010</v>
      </c>
      <c r="G588" s="7">
        <v>-1360</v>
      </c>
      <c r="H588" s="7">
        <f>(F588+G588)/2</f>
        <v>-1685</v>
      </c>
      <c r="I588" s="9">
        <v>3</v>
      </c>
      <c r="J588" s="10"/>
      <c r="K588" s="8"/>
      <c r="L588" s="8"/>
      <c r="M588" s="8"/>
      <c r="N588" s="8"/>
      <c r="O588" s="8" t="s">
        <v>702</v>
      </c>
      <c r="P588" s="11"/>
      <c r="Q588" s="11"/>
      <c r="R588" s="11"/>
      <c r="S588" s="11">
        <f>P588*4</f>
        <v>0</v>
      </c>
      <c r="T588" s="11">
        <f>Q588*4</f>
        <v>0</v>
      </c>
      <c r="U588" s="11">
        <f>R588*4</f>
        <v>0</v>
      </c>
      <c r="V588" s="12">
        <f>4/3*3.14*U588^2*T588</f>
        <v>0</v>
      </c>
      <c r="W588" s="12">
        <f>V588/1000</f>
        <v>0</v>
      </c>
    </row>
    <row r="589" spans="1:23" x14ac:dyDescent="0.25">
      <c r="A589" s="7">
        <v>591</v>
      </c>
      <c r="B589" s="8" t="s">
        <v>726</v>
      </c>
      <c r="C589" s="8" t="s">
        <v>730</v>
      </c>
      <c r="D589" s="7" t="s">
        <v>728</v>
      </c>
      <c r="E589" s="8" t="s">
        <v>25</v>
      </c>
      <c r="F589" s="7">
        <v>-2010</v>
      </c>
      <c r="G589" s="7">
        <v>-1360</v>
      </c>
      <c r="H589" s="7">
        <f>(F589+G589)/2</f>
        <v>-1685</v>
      </c>
      <c r="I589" s="9">
        <v>1</v>
      </c>
      <c r="J589" s="10"/>
      <c r="K589" s="8"/>
      <c r="L589" s="8"/>
      <c r="M589" s="8"/>
      <c r="N589" s="8"/>
      <c r="O589" s="8" t="s">
        <v>702</v>
      </c>
      <c r="P589" s="11"/>
      <c r="Q589" s="11"/>
      <c r="R589" s="11"/>
      <c r="S589" s="11">
        <f>P589*4</f>
        <v>0</v>
      </c>
      <c r="T589" s="11">
        <f>Q589*4</f>
        <v>0</v>
      </c>
      <c r="U589" s="11">
        <f>R589*4</f>
        <v>0</v>
      </c>
      <c r="V589" s="12">
        <f>(1/3)*3.14*T589^2*(3*(U589/2)-T589)</f>
        <v>0</v>
      </c>
      <c r="W589" s="12">
        <f>V589/1000</f>
        <v>0</v>
      </c>
    </row>
    <row r="590" spans="1:23" x14ac:dyDescent="0.25">
      <c r="A590" s="7">
        <v>592</v>
      </c>
      <c r="B590" s="8" t="s">
        <v>726</v>
      </c>
      <c r="C590" s="8" t="s">
        <v>731</v>
      </c>
      <c r="D590" s="7" t="s">
        <v>728</v>
      </c>
      <c r="E590" s="8" t="s">
        <v>25</v>
      </c>
      <c r="F590" s="7">
        <v>-2010</v>
      </c>
      <c r="G590" s="7">
        <v>-1360</v>
      </c>
      <c r="H590" s="7">
        <f>(F590+G590)/2</f>
        <v>-1685</v>
      </c>
      <c r="I590" s="9">
        <v>2</v>
      </c>
      <c r="J590" s="10"/>
      <c r="K590" s="8"/>
      <c r="L590" s="8"/>
      <c r="M590" s="8"/>
      <c r="N590" s="8"/>
      <c r="O590" s="8" t="s">
        <v>702</v>
      </c>
      <c r="P590" s="11"/>
      <c r="Q590" s="11"/>
      <c r="R590" s="11"/>
      <c r="S590" s="11">
        <f>P590*4</f>
        <v>0</v>
      </c>
      <c r="T590" s="11">
        <f>Q590*4</f>
        <v>0</v>
      </c>
      <c r="U590" s="11">
        <f>R590*4</f>
        <v>0</v>
      </c>
      <c r="V590" s="12">
        <f>(1/3)*3.14*T590^2*(3*(U590/2)-T590)</f>
        <v>0</v>
      </c>
      <c r="W590" s="12">
        <f>V590/1000</f>
        <v>0</v>
      </c>
    </row>
    <row r="591" spans="1:23" x14ac:dyDescent="0.25">
      <c r="A591" s="7">
        <v>593</v>
      </c>
      <c r="B591" s="8" t="s">
        <v>726</v>
      </c>
      <c r="C591" s="8" t="s">
        <v>732</v>
      </c>
      <c r="D591" s="7" t="s">
        <v>728</v>
      </c>
      <c r="E591" s="8" t="s">
        <v>25</v>
      </c>
      <c r="F591" s="7">
        <v>-2010</v>
      </c>
      <c r="G591" s="7">
        <v>-1360</v>
      </c>
      <c r="H591" s="7">
        <f>(F591+G591)/2</f>
        <v>-1685</v>
      </c>
      <c r="I591" s="9">
        <v>2</v>
      </c>
      <c r="J591" s="10"/>
      <c r="K591" s="8"/>
      <c r="L591" s="8"/>
      <c r="M591" s="8"/>
      <c r="N591" s="8"/>
      <c r="O591" s="8" t="s">
        <v>702</v>
      </c>
      <c r="P591" s="11"/>
      <c r="Q591" s="11"/>
      <c r="R591" s="11"/>
      <c r="S591" s="11">
        <f>P591*4</f>
        <v>0</v>
      </c>
      <c r="T591" s="11">
        <f>Q591*4</f>
        <v>0</v>
      </c>
      <c r="U591" s="11">
        <f>R591*4</f>
        <v>0</v>
      </c>
      <c r="V591" s="12">
        <f>(1/3)*3.14*T591^2*(3*(U591/2)-T591)</f>
        <v>0</v>
      </c>
      <c r="W591" s="12">
        <f>V591/1000</f>
        <v>0</v>
      </c>
    </row>
    <row r="592" spans="1:23" x14ac:dyDescent="0.25">
      <c r="A592" s="7">
        <v>594</v>
      </c>
      <c r="B592" s="8" t="s">
        <v>726</v>
      </c>
      <c r="C592" s="8" t="s">
        <v>733</v>
      </c>
      <c r="D592" s="7" t="s">
        <v>728</v>
      </c>
      <c r="E592" s="8" t="s">
        <v>25</v>
      </c>
      <c r="F592" s="7">
        <v>-2010</v>
      </c>
      <c r="G592" s="7">
        <v>-1360</v>
      </c>
      <c r="H592" s="7">
        <f>(F592+G592)/2</f>
        <v>-1685</v>
      </c>
      <c r="I592" s="9">
        <v>2</v>
      </c>
      <c r="J592" s="10"/>
      <c r="K592" s="8"/>
      <c r="L592" s="8"/>
      <c r="M592" s="8"/>
      <c r="N592" s="8"/>
      <c r="O592" s="8" t="s">
        <v>702</v>
      </c>
      <c r="P592" s="11"/>
      <c r="Q592" s="11"/>
      <c r="R592" s="11"/>
      <c r="S592" s="11">
        <f>P592*4</f>
        <v>0</v>
      </c>
      <c r="T592" s="11">
        <f>Q592*4</f>
        <v>0</v>
      </c>
      <c r="U592" s="11">
        <f>R592*4</f>
        <v>0</v>
      </c>
      <c r="V592" s="12">
        <f>(1/3)*3.14*T592^2*(3*(U592/2)-T592)</f>
        <v>0</v>
      </c>
      <c r="W592" s="12">
        <f>V592/1000</f>
        <v>0</v>
      </c>
    </row>
    <row r="593" spans="1:23" x14ac:dyDescent="0.25">
      <c r="A593" s="7">
        <v>595</v>
      </c>
      <c r="B593" s="8" t="s">
        <v>726</v>
      </c>
      <c r="C593" s="8" t="s">
        <v>734</v>
      </c>
      <c r="D593" s="7" t="s">
        <v>728</v>
      </c>
      <c r="E593" s="8" t="s">
        <v>25</v>
      </c>
      <c r="F593" s="7">
        <v>-2010</v>
      </c>
      <c r="G593" s="7">
        <v>-1360</v>
      </c>
      <c r="H593" s="7">
        <f>(F593+G593)/2</f>
        <v>-1685</v>
      </c>
      <c r="I593" s="9">
        <v>2</v>
      </c>
      <c r="J593" s="10"/>
      <c r="K593" s="8"/>
      <c r="L593" s="8"/>
      <c r="M593" s="8"/>
      <c r="N593" s="8"/>
      <c r="O593" s="8" t="s">
        <v>702</v>
      </c>
      <c r="P593" s="11"/>
      <c r="Q593" s="11"/>
      <c r="R593" s="11"/>
      <c r="S593" s="11">
        <f>P593*4</f>
        <v>0</v>
      </c>
      <c r="T593" s="11">
        <f>Q593*4</f>
        <v>0</v>
      </c>
      <c r="U593" s="11">
        <f>R593*4</f>
        <v>0</v>
      </c>
      <c r="V593" s="12">
        <f>(1/3)*3.14*T593^2*(3*(U593/2)-T593)</f>
        <v>0</v>
      </c>
      <c r="W593" s="12">
        <f>V593/1000</f>
        <v>0</v>
      </c>
    </row>
    <row r="594" spans="1:23" x14ac:dyDescent="0.25">
      <c r="A594" s="7">
        <v>596</v>
      </c>
      <c r="B594" s="8" t="s">
        <v>726</v>
      </c>
      <c r="C594" s="8" t="s">
        <v>735</v>
      </c>
      <c r="D594" s="7" t="s">
        <v>728</v>
      </c>
      <c r="E594" s="8" t="s">
        <v>25</v>
      </c>
      <c r="F594" s="7">
        <v>-2010</v>
      </c>
      <c r="G594" s="7">
        <v>-1360</v>
      </c>
      <c r="H594" s="7">
        <f>(F594+G594)/2</f>
        <v>-1685</v>
      </c>
      <c r="I594" s="9">
        <v>4</v>
      </c>
      <c r="J594" s="10"/>
      <c r="K594" s="8"/>
      <c r="L594" s="8"/>
      <c r="M594" s="8"/>
      <c r="N594" s="8"/>
      <c r="O594" s="8" t="s">
        <v>702</v>
      </c>
      <c r="P594" s="11"/>
      <c r="Q594" s="11"/>
      <c r="R594" s="11"/>
      <c r="S594" s="11">
        <f>P594*4</f>
        <v>0</v>
      </c>
      <c r="T594" s="11">
        <f>Q594*4</f>
        <v>0</v>
      </c>
      <c r="U594" s="11">
        <f>R594*4</f>
        <v>0</v>
      </c>
      <c r="V594" s="12">
        <f>(2/3)*3.14*(U594/2)^3</f>
        <v>0</v>
      </c>
      <c r="W594" s="12">
        <f>V594/1000</f>
        <v>0</v>
      </c>
    </row>
    <row r="595" spans="1:23" x14ac:dyDescent="0.25">
      <c r="A595" s="7">
        <v>597</v>
      </c>
      <c r="B595" s="8" t="s">
        <v>726</v>
      </c>
      <c r="C595" s="8" t="s">
        <v>736</v>
      </c>
      <c r="D595" s="7" t="s">
        <v>728</v>
      </c>
      <c r="E595" s="8" t="s">
        <v>25</v>
      </c>
      <c r="F595" s="7">
        <v>-2010</v>
      </c>
      <c r="G595" s="7">
        <v>-1360</v>
      </c>
      <c r="H595" s="7">
        <f>(F595+G595)/2</f>
        <v>-1685</v>
      </c>
      <c r="I595" s="9">
        <v>6</v>
      </c>
      <c r="J595" s="10"/>
      <c r="K595" s="8"/>
      <c r="L595" s="8"/>
      <c r="M595" s="8"/>
      <c r="N595" s="8"/>
      <c r="O595" s="8" t="s">
        <v>702</v>
      </c>
      <c r="P595" s="11"/>
      <c r="Q595" s="11"/>
      <c r="R595" s="11"/>
      <c r="S595" s="11">
        <f>P595*4</f>
        <v>0</v>
      </c>
      <c r="T595" s="11">
        <f>Q595*4</f>
        <v>0</v>
      </c>
      <c r="U595" s="11">
        <f>R595*4</f>
        <v>0</v>
      </c>
      <c r="V595" s="12">
        <f>(4/3)*3.14*(U595/2)^3</f>
        <v>0</v>
      </c>
      <c r="W595" s="12">
        <f>V595/1000</f>
        <v>0</v>
      </c>
    </row>
    <row r="596" spans="1:23" x14ac:dyDescent="0.25">
      <c r="A596" s="7">
        <v>598</v>
      </c>
      <c r="B596" s="8" t="s">
        <v>726</v>
      </c>
      <c r="C596" s="8" t="s">
        <v>737</v>
      </c>
      <c r="D596" s="7" t="s">
        <v>728</v>
      </c>
      <c r="E596" s="8" t="s">
        <v>25</v>
      </c>
      <c r="F596" s="7">
        <v>-2010</v>
      </c>
      <c r="G596" s="7">
        <v>-1360</v>
      </c>
      <c r="H596" s="7">
        <f>(F596+G596)/2</f>
        <v>-1685</v>
      </c>
      <c r="I596" s="9">
        <v>5</v>
      </c>
      <c r="J596" s="10"/>
      <c r="K596" s="8"/>
      <c r="L596" s="8"/>
      <c r="M596" s="8"/>
      <c r="N596" s="8"/>
      <c r="O596" s="8" t="s">
        <v>702</v>
      </c>
      <c r="P596" s="11"/>
      <c r="Q596" s="11"/>
      <c r="R596" s="11"/>
      <c r="S596" s="11">
        <f>P596*4</f>
        <v>0</v>
      </c>
      <c r="T596" s="11">
        <f>Q596*4</f>
        <v>0</v>
      </c>
      <c r="U596" s="11">
        <f>R596*4</f>
        <v>0</v>
      </c>
      <c r="V596" s="12">
        <f>(4/3)*3.14*(U596/2)^3</f>
        <v>0</v>
      </c>
      <c r="W596" s="12">
        <f>V596/1000</f>
        <v>0</v>
      </c>
    </row>
    <row r="597" spans="1:23" x14ac:dyDescent="0.25">
      <c r="A597" s="7">
        <v>599</v>
      </c>
      <c r="B597" s="8" t="s">
        <v>726</v>
      </c>
      <c r="C597" s="8" t="s">
        <v>738</v>
      </c>
      <c r="D597" s="7" t="s">
        <v>728</v>
      </c>
      <c r="E597" s="8" t="s">
        <v>25</v>
      </c>
      <c r="F597" s="7">
        <v>-2010</v>
      </c>
      <c r="G597" s="7">
        <v>-1360</v>
      </c>
      <c r="H597" s="7">
        <f>(F597+G597)/2</f>
        <v>-1685</v>
      </c>
      <c r="I597" s="9">
        <v>5</v>
      </c>
      <c r="J597" s="10"/>
      <c r="K597" s="8"/>
      <c r="L597" s="8"/>
      <c r="M597" s="8"/>
      <c r="N597" s="8"/>
      <c r="O597" s="8" t="s">
        <v>702</v>
      </c>
      <c r="P597" s="11"/>
      <c r="Q597" s="11"/>
      <c r="R597" s="11"/>
      <c r="S597" s="11">
        <f>P597*4</f>
        <v>0</v>
      </c>
      <c r="T597" s="11">
        <f>Q597*4</f>
        <v>0</v>
      </c>
      <c r="U597" s="11">
        <f>R597*4</f>
        <v>0</v>
      </c>
      <c r="V597" s="12">
        <f>(4/3)*3.14*(U597/2)^3</f>
        <v>0</v>
      </c>
      <c r="W597" s="12">
        <f>V597/1000</f>
        <v>0</v>
      </c>
    </row>
    <row r="598" spans="1:23" x14ac:dyDescent="0.25">
      <c r="A598" s="7">
        <v>600</v>
      </c>
      <c r="B598" s="8" t="s">
        <v>726</v>
      </c>
      <c r="C598" s="8" t="s">
        <v>739</v>
      </c>
      <c r="D598" s="7" t="s">
        <v>728</v>
      </c>
      <c r="E598" s="8" t="s">
        <v>25</v>
      </c>
      <c r="F598" s="7">
        <v>-2010</v>
      </c>
      <c r="G598" s="7">
        <v>-1360</v>
      </c>
      <c r="H598" s="7">
        <f>(F598+G598)/2</f>
        <v>-1685</v>
      </c>
      <c r="I598" s="9">
        <v>5</v>
      </c>
      <c r="J598" s="10"/>
      <c r="K598" s="8"/>
      <c r="L598" s="8"/>
      <c r="M598" s="8"/>
      <c r="N598" s="8"/>
      <c r="O598" s="8" t="s">
        <v>702</v>
      </c>
      <c r="P598" s="11"/>
      <c r="Q598" s="11"/>
      <c r="R598" s="11"/>
      <c r="S598" s="11">
        <f>P598*4</f>
        <v>0</v>
      </c>
      <c r="T598" s="11">
        <f>Q598*4</f>
        <v>0</v>
      </c>
      <c r="U598" s="11">
        <f>R598*4</f>
        <v>0</v>
      </c>
      <c r="V598" s="12">
        <f>(4/3)*3.14*(U598/2)^3</f>
        <v>0</v>
      </c>
      <c r="W598" s="12">
        <f>V598/1000</f>
        <v>0</v>
      </c>
    </row>
    <row r="599" spans="1:23" x14ac:dyDescent="0.25">
      <c r="A599" s="7">
        <v>601</v>
      </c>
      <c r="B599" s="8" t="s">
        <v>726</v>
      </c>
      <c r="C599" s="8" t="s">
        <v>740</v>
      </c>
      <c r="D599" s="7" t="s">
        <v>728</v>
      </c>
      <c r="E599" s="8" t="s">
        <v>25</v>
      </c>
      <c r="F599" s="7">
        <v>-2010</v>
      </c>
      <c r="G599" s="7">
        <v>-1360</v>
      </c>
      <c r="H599" s="7">
        <f>(F599+G599)/2</f>
        <v>-1685</v>
      </c>
      <c r="I599" s="9">
        <v>5</v>
      </c>
      <c r="J599" s="10"/>
      <c r="K599" s="8"/>
      <c r="L599" s="8"/>
      <c r="M599" s="8"/>
      <c r="N599" s="8"/>
      <c r="O599" s="8" t="s">
        <v>702</v>
      </c>
      <c r="P599" s="11"/>
      <c r="Q599" s="11"/>
      <c r="R599" s="11"/>
      <c r="S599" s="11">
        <f>P599*4</f>
        <v>0</v>
      </c>
      <c r="T599" s="11">
        <f>Q599*4</f>
        <v>0</v>
      </c>
      <c r="U599" s="11">
        <f>R599*4</f>
        <v>0</v>
      </c>
      <c r="V599" s="12">
        <f>(4/3)*3.14*(U599/2)^3</f>
        <v>0</v>
      </c>
      <c r="W599" s="12">
        <f>V599/1000</f>
        <v>0</v>
      </c>
    </row>
    <row r="600" spans="1:23" x14ac:dyDescent="0.25">
      <c r="A600" s="7">
        <v>602</v>
      </c>
      <c r="B600" s="8" t="s">
        <v>726</v>
      </c>
      <c r="C600" s="8" t="s">
        <v>741</v>
      </c>
      <c r="D600" s="7" t="s">
        <v>728</v>
      </c>
      <c r="E600" s="8" t="s">
        <v>25</v>
      </c>
      <c r="F600" s="7">
        <v>-2010</v>
      </c>
      <c r="G600" s="7">
        <v>-1360</v>
      </c>
      <c r="H600" s="7">
        <f>(F600+G600)/2</f>
        <v>-1685</v>
      </c>
      <c r="I600" s="9">
        <v>4</v>
      </c>
      <c r="J600" s="10"/>
      <c r="K600" s="8"/>
      <c r="L600" s="8"/>
      <c r="M600" s="8"/>
      <c r="N600" s="8"/>
      <c r="O600" s="8" t="s">
        <v>702</v>
      </c>
      <c r="P600" s="11"/>
      <c r="Q600" s="11"/>
      <c r="R600" s="11"/>
      <c r="S600" s="11">
        <f>P600*4</f>
        <v>0</v>
      </c>
      <c r="T600" s="11">
        <f>Q600*4</f>
        <v>0</v>
      </c>
      <c r="U600" s="11">
        <f>R600*4</f>
        <v>0</v>
      </c>
      <c r="V600" s="12">
        <f>(2/3)*3.14*(U600/2)^3</f>
        <v>0</v>
      </c>
      <c r="W600" s="12">
        <f>V600/1000</f>
        <v>0</v>
      </c>
    </row>
    <row r="601" spans="1:23" x14ac:dyDescent="0.25">
      <c r="A601" s="7">
        <v>603</v>
      </c>
      <c r="B601" s="8" t="s">
        <v>726</v>
      </c>
      <c r="C601" s="8" t="s">
        <v>742</v>
      </c>
      <c r="D601" s="7" t="s">
        <v>728</v>
      </c>
      <c r="E601" s="8" t="s">
        <v>25</v>
      </c>
      <c r="F601" s="7">
        <v>-2010</v>
      </c>
      <c r="G601" s="7">
        <v>-1360</v>
      </c>
      <c r="H601" s="7">
        <f>(F601+G601)/2</f>
        <v>-1685</v>
      </c>
      <c r="I601" s="9">
        <v>6</v>
      </c>
      <c r="J601" s="10"/>
      <c r="K601" s="8"/>
      <c r="L601" s="8"/>
      <c r="M601" s="8"/>
      <c r="N601" s="8"/>
      <c r="O601" s="8" t="s">
        <v>702</v>
      </c>
      <c r="P601" s="11"/>
      <c r="Q601" s="11"/>
      <c r="R601" s="11"/>
      <c r="S601" s="11">
        <f>P601*4</f>
        <v>0</v>
      </c>
      <c r="T601" s="11">
        <f>Q601*4</f>
        <v>0</v>
      </c>
      <c r="U601" s="11">
        <f>R601*4</f>
        <v>0</v>
      </c>
      <c r="V601" s="12">
        <f>(4/3)*3.14*(U601/2)^3</f>
        <v>0</v>
      </c>
      <c r="W601" s="12">
        <f>V601/1000</f>
        <v>0</v>
      </c>
    </row>
    <row r="602" spans="1:23" x14ac:dyDescent="0.25">
      <c r="A602" s="7">
        <v>604</v>
      </c>
      <c r="B602" s="8" t="s">
        <v>726</v>
      </c>
      <c r="C602" s="8" t="s">
        <v>743</v>
      </c>
      <c r="D602" s="7" t="s">
        <v>728</v>
      </c>
      <c r="E602" s="8" t="s">
        <v>25</v>
      </c>
      <c r="F602" s="7">
        <v>-2010</v>
      </c>
      <c r="G602" s="7">
        <v>-1360</v>
      </c>
      <c r="H602" s="7">
        <f>(F602+G602)/2</f>
        <v>-1685</v>
      </c>
      <c r="I602" s="9">
        <v>5</v>
      </c>
      <c r="J602" s="10"/>
      <c r="K602" s="8"/>
      <c r="L602" s="8"/>
      <c r="M602" s="8"/>
      <c r="N602" s="8"/>
      <c r="O602" s="8" t="s">
        <v>702</v>
      </c>
      <c r="P602" s="11"/>
      <c r="Q602" s="11"/>
      <c r="R602" s="11"/>
      <c r="S602" s="11">
        <f>P602*4</f>
        <v>0</v>
      </c>
      <c r="T602" s="11">
        <f>Q602*4</f>
        <v>0</v>
      </c>
      <c r="U602" s="11">
        <f>R602*4</f>
        <v>0</v>
      </c>
      <c r="V602" s="12">
        <f>(4/3)*3.14*(U602/2)^3</f>
        <v>0</v>
      </c>
      <c r="W602" s="12">
        <f>V602/1000</f>
        <v>0</v>
      </c>
    </row>
    <row r="603" spans="1:23" x14ac:dyDescent="0.25">
      <c r="A603" s="7">
        <v>605</v>
      </c>
      <c r="B603" s="8" t="s">
        <v>726</v>
      </c>
      <c r="C603" s="8" t="s">
        <v>744</v>
      </c>
      <c r="D603" s="7" t="s">
        <v>728</v>
      </c>
      <c r="E603" s="8" t="s">
        <v>25</v>
      </c>
      <c r="F603" s="7">
        <v>-2010</v>
      </c>
      <c r="G603" s="7">
        <v>-1360</v>
      </c>
      <c r="H603" s="7">
        <f>(F603+G603)/2</f>
        <v>-1685</v>
      </c>
      <c r="I603" s="9">
        <v>6</v>
      </c>
      <c r="J603" s="10"/>
      <c r="K603" s="8"/>
      <c r="L603" s="8"/>
      <c r="M603" s="8"/>
      <c r="N603" s="8"/>
      <c r="O603" s="8" t="s">
        <v>702</v>
      </c>
      <c r="P603" s="11"/>
      <c r="Q603" s="11"/>
      <c r="R603" s="11"/>
      <c r="S603" s="11">
        <f>P603*4</f>
        <v>0</v>
      </c>
      <c r="T603" s="11">
        <f>Q603*4</f>
        <v>0</v>
      </c>
      <c r="U603" s="11">
        <f>R603*4</f>
        <v>0</v>
      </c>
      <c r="V603" s="12">
        <f>(4/3)*3.14*(U603/2)^3</f>
        <v>0</v>
      </c>
      <c r="W603" s="12">
        <f>V603/1000</f>
        <v>0</v>
      </c>
    </row>
    <row r="604" spans="1:23" x14ac:dyDescent="0.25">
      <c r="A604" s="7">
        <v>606</v>
      </c>
      <c r="B604" s="8" t="s">
        <v>745</v>
      </c>
      <c r="C604" s="8" t="s">
        <v>746</v>
      </c>
      <c r="D604" s="7" t="s">
        <v>747</v>
      </c>
      <c r="E604" s="8" t="s">
        <v>25</v>
      </c>
      <c r="F604" s="7">
        <v>-1440</v>
      </c>
      <c r="G604" s="7">
        <v>-1160</v>
      </c>
      <c r="H604" s="7">
        <f>(F604+G604)/2</f>
        <v>-1300</v>
      </c>
      <c r="I604" s="9">
        <v>2</v>
      </c>
      <c r="J604" s="10" t="s">
        <v>34</v>
      </c>
      <c r="K604" s="8" t="s">
        <v>157</v>
      </c>
      <c r="L604" s="8" t="s">
        <v>38</v>
      </c>
      <c r="M604" s="8"/>
      <c r="N604" s="8"/>
      <c r="O604" s="8" t="s">
        <v>29</v>
      </c>
      <c r="P604" s="11">
        <v>7.6</v>
      </c>
      <c r="Q604" s="11">
        <v>3.1</v>
      </c>
      <c r="R604" s="11">
        <v>7.6</v>
      </c>
      <c r="S604" s="11">
        <f>P604*4</f>
        <v>30.4</v>
      </c>
      <c r="T604" s="11">
        <f>Q604*4</f>
        <v>12.4</v>
      </c>
      <c r="U604" s="11">
        <f>R604*4</f>
        <v>30.4</v>
      </c>
      <c r="V604" s="12">
        <f>(1/3)*3.14*T604^2*(3*(U604/2)-T604)</f>
        <v>5343.0574933333328</v>
      </c>
      <c r="W604" s="12">
        <f>V604/1000</f>
        <v>5.3430574933333324</v>
      </c>
    </row>
    <row r="605" spans="1:23" x14ac:dyDescent="0.25">
      <c r="A605" s="7">
        <v>607</v>
      </c>
      <c r="B605" s="8" t="s">
        <v>745</v>
      </c>
      <c r="C605" s="8" t="s">
        <v>748</v>
      </c>
      <c r="D605" s="7" t="s">
        <v>747</v>
      </c>
      <c r="E605" s="8" t="s">
        <v>25</v>
      </c>
      <c r="F605" s="7">
        <v>-1440</v>
      </c>
      <c r="G605" s="7">
        <v>-1160</v>
      </c>
      <c r="H605" s="7">
        <f>(F605+G605)/2</f>
        <v>-1300</v>
      </c>
      <c r="I605" s="9">
        <v>2</v>
      </c>
      <c r="J605" s="10" t="s">
        <v>81</v>
      </c>
      <c r="K605" s="8" t="s">
        <v>68</v>
      </c>
      <c r="L605" s="8" t="s">
        <v>28</v>
      </c>
      <c r="M605" s="8"/>
      <c r="N605" s="8"/>
      <c r="O605" s="8" t="s">
        <v>29</v>
      </c>
      <c r="P605" s="11">
        <v>12.4</v>
      </c>
      <c r="Q605" s="11">
        <v>4.8</v>
      </c>
      <c r="R605" s="11">
        <v>12.4</v>
      </c>
      <c r="S605" s="11">
        <f>P605*4</f>
        <v>49.6</v>
      </c>
      <c r="T605" s="11">
        <f>Q605*4</f>
        <v>19.2</v>
      </c>
      <c r="U605" s="11">
        <f>R605*4</f>
        <v>49.6</v>
      </c>
      <c r="V605" s="12">
        <f>(1/3)*3.14*T605^2*(3*(U605/2)-T605)</f>
        <v>21298.54464</v>
      </c>
      <c r="W605" s="12">
        <f>V605/1000</f>
        <v>21.298544639999999</v>
      </c>
    </row>
    <row r="606" spans="1:23" x14ac:dyDescent="0.25">
      <c r="A606" s="7">
        <v>608</v>
      </c>
      <c r="B606" s="8" t="s">
        <v>745</v>
      </c>
      <c r="C606" s="8" t="s">
        <v>749</v>
      </c>
      <c r="D606" s="7" t="s">
        <v>747</v>
      </c>
      <c r="E606" s="8" t="s">
        <v>25</v>
      </c>
      <c r="F606" s="7">
        <v>-1440</v>
      </c>
      <c r="G606" s="7">
        <v>-1160</v>
      </c>
      <c r="H606" s="7">
        <f>(F606+G606)/2</f>
        <v>-1300</v>
      </c>
      <c r="I606" s="9">
        <v>2</v>
      </c>
      <c r="J606" s="10" t="s">
        <v>81</v>
      </c>
      <c r="K606" s="8" t="s">
        <v>27</v>
      </c>
      <c r="L606" s="8" t="s">
        <v>28</v>
      </c>
      <c r="M606" s="8"/>
      <c r="N606" s="8"/>
      <c r="O606" s="8" t="s">
        <v>29</v>
      </c>
      <c r="P606" s="11">
        <v>12.2</v>
      </c>
      <c r="Q606" s="11">
        <v>4.8</v>
      </c>
      <c r="R606" s="11">
        <v>12.2</v>
      </c>
      <c r="S606" s="11">
        <f>P606*4</f>
        <v>48.8</v>
      </c>
      <c r="T606" s="11">
        <f>Q606*4</f>
        <v>19.2</v>
      </c>
      <c r="U606" s="11">
        <f>R606*4</f>
        <v>48.8</v>
      </c>
      <c r="V606" s="12">
        <f>(1/3)*3.14*T606^2*(3*(U606/2)-T606)</f>
        <v>20835.532799999994</v>
      </c>
      <c r="W606" s="12">
        <f>V606/1000</f>
        <v>20.835532799999992</v>
      </c>
    </row>
    <row r="607" spans="1:23" x14ac:dyDescent="0.25">
      <c r="A607" s="7">
        <v>609</v>
      </c>
      <c r="B607" s="8" t="s">
        <v>745</v>
      </c>
      <c r="C607" s="8" t="s">
        <v>750</v>
      </c>
      <c r="D607" s="7" t="s">
        <v>751</v>
      </c>
      <c r="E607" s="8" t="s">
        <v>25</v>
      </c>
      <c r="F607" s="7">
        <v>-1300</v>
      </c>
      <c r="G607" s="7">
        <v>-800</v>
      </c>
      <c r="H607" s="7">
        <f>(F607+G607)/2</f>
        <v>-1050</v>
      </c>
      <c r="I607" s="9">
        <v>5</v>
      </c>
      <c r="J607" s="10" t="s">
        <v>34</v>
      </c>
      <c r="K607" s="8" t="s">
        <v>42</v>
      </c>
      <c r="L607" s="8" t="s">
        <v>43</v>
      </c>
      <c r="M607" s="8"/>
      <c r="N607" s="8"/>
      <c r="O607" s="8" t="s">
        <v>29</v>
      </c>
      <c r="P607" s="11">
        <v>5</v>
      </c>
      <c r="Q607" s="11">
        <v>8.5</v>
      </c>
      <c r="R607" s="11">
        <v>8.1</v>
      </c>
      <c r="S607" s="11">
        <f>P607*4</f>
        <v>20</v>
      </c>
      <c r="T607" s="11">
        <f>Q607*4</f>
        <v>34</v>
      </c>
      <c r="U607" s="11">
        <f>R607*4</f>
        <v>32.4</v>
      </c>
      <c r="V607" s="12">
        <f>(4/3)*3.14*(U607/2)^3</f>
        <v>17799.730559999996</v>
      </c>
      <c r="W607" s="12">
        <f>V607/1000</f>
        <v>17.799730559999997</v>
      </c>
    </row>
    <row r="608" spans="1:23" x14ac:dyDescent="0.25">
      <c r="A608" s="7">
        <v>610</v>
      </c>
      <c r="B608" s="8" t="s">
        <v>745</v>
      </c>
      <c r="C608" s="8" t="s">
        <v>752</v>
      </c>
      <c r="D608" s="7" t="s">
        <v>751</v>
      </c>
      <c r="E608" s="8" t="s">
        <v>25</v>
      </c>
      <c r="F608" s="7">
        <v>-1300</v>
      </c>
      <c r="G608" s="7">
        <v>-800</v>
      </c>
      <c r="H608" s="7">
        <f>(F608+G608)/2</f>
        <v>-1050</v>
      </c>
      <c r="I608" s="9">
        <v>5</v>
      </c>
      <c r="J608" s="10" t="s">
        <v>34</v>
      </c>
      <c r="K608" s="8" t="s">
        <v>77</v>
      </c>
      <c r="L608" s="8" t="s">
        <v>77</v>
      </c>
      <c r="M608" s="8"/>
      <c r="N608" s="8"/>
      <c r="O608" s="8" t="s">
        <v>44</v>
      </c>
      <c r="P608" s="11">
        <v>4.8</v>
      </c>
      <c r="Q608" s="11">
        <v>8.8000000000000007</v>
      </c>
      <c r="R608" s="11">
        <v>8.6999999999999993</v>
      </c>
      <c r="S608" s="11">
        <f>P608*4</f>
        <v>19.2</v>
      </c>
      <c r="T608" s="11">
        <f>Q608*4</f>
        <v>35.200000000000003</v>
      </c>
      <c r="U608" s="11">
        <f>R608*4</f>
        <v>34.799999999999997</v>
      </c>
      <c r="V608" s="12">
        <f>(4/3)*3.14*(U608/2)^3</f>
        <v>22055.460479999994</v>
      </c>
      <c r="W608" s="12">
        <f>V608/1000</f>
        <v>22.055460479999994</v>
      </c>
    </row>
    <row r="609" spans="1:23" x14ac:dyDescent="0.25">
      <c r="A609" s="7">
        <v>611</v>
      </c>
      <c r="B609" s="8" t="s">
        <v>745</v>
      </c>
      <c r="C609" s="8" t="s">
        <v>753</v>
      </c>
      <c r="D609" s="7" t="s">
        <v>751</v>
      </c>
      <c r="E609" s="8" t="s">
        <v>25</v>
      </c>
      <c r="F609" s="7">
        <v>-1300</v>
      </c>
      <c r="G609" s="7">
        <v>-800</v>
      </c>
      <c r="H609" s="7">
        <f>(F609+G609)/2</f>
        <v>-1050</v>
      </c>
      <c r="I609" s="9">
        <v>5</v>
      </c>
      <c r="J609" s="10" t="s">
        <v>32</v>
      </c>
      <c r="K609" s="8" t="s">
        <v>42</v>
      </c>
      <c r="L609" s="8" t="s">
        <v>43</v>
      </c>
      <c r="M609" s="8"/>
      <c r="N609" s="8"/>
      <c r="O609" s="8" t="s">
        <v>44</v>
      </c>
      <c r="P609" s="11">
        <v>6.9</v>
      </c>
      <c r="Q609" s="11">
        <v>9.6</v>
      </c>
      <c r="R609" s="11">
        <v>10.6</v>
      </c>
      <c r="S609" s="11">
        <f>P609*4</f>
        <v>27.6</v>
      </c>
      <c r="T609" s="11">
        <f>Q609*4</f>
        <v>38.4</v>
      </c>
      <c r="U609" s="11">
        <f>R609*4</f>
        <v>42.4</v>
      </c>
      <c r="V609" s="12">
        <f>(4/3)*3.14*(U609/2)^3</f>
        <v>39891.095893333324</v>
      </c>
      <c r="W609" s="12">
        <f>V609/1000</f>
        <v>39.891095893333322</v>
      </c>
    </row>
    <row r="610" spans="1:23" x14ac:dyDescent="0.25">
      <c r="A610" s="7">
        <v>612</v>
      </c>
      <c r="B610" s="8" t="s">
        <v>745</v>
      </c>
      <c r="C610" s="8" t="s">
        <v>754</v>
      </c>
      <c r="D610" s="7" t="s">
        <v>755</v>
      </c>
      <c r="E610" s="8" t="s">
        <v>182</v>
      </c>
      <c r="F610" s="7">
        <v>-850</v>
      </c>
      <c r="G610" s="7">
        <v>300</v>
      </c>
      <c r="H610" s="7">
        <f>(F610+G610)/2</f>
        <v>-275</v>
      </c>
      <c r="I610" s="9">
        <v>5</v>
      </c>
      <c r="J610" s="10" t="s">
        <v>34</v>
      </c>
      <c r="K610" s="8" t="s">
        <v>42</v>
      </c>
      <c r="L610" s="8" t="s">
        <v>43</v>
      </c>
      <c r="M610" s="8"/>
      <c r="N610" s="8"/>
      <c r="O610" s="8" t="s">
        <v>44</v>
      </c>
      <c r="P610" s="11">
        <v>6.1</v>
      </c>
      <c r="Q610" s="11">
        <v>8.3000000000000007</v>
      </c>
      <c r="R610" s="11">
        <v>8.6999999999999993</v>
      </c>
      <c r="S610" s="11">
        <f>P610*4</f>
        <v>24.4</v>
      </c>
      <c r="T610" s="11">
        <f>Q610*4</f>
        <v>33.200000000000003</v>
      </c>
      <c r="U610" s="11">
        <f>R610*4</f>
        <v>34.799999999999997</v>
      </c>
      <c r="V610" s="12">
        <f>(4/3)*3.14*(U610/2)^3</f>
        <v>22055.460479999994</v>
      </c>
      <c r="W610" s="12">
        <f>V610/1000</f>
        <v>22.055460479999994</v>
      </c>
    </row>
    <row r="611" spans="1:23" x14ac:dyDescent="0.25">
      <c r="A611" s="7">
        <v>613</v>
      </c>
      <c r="B611" s="8" t="s">
        <v>745</v>
      </c>
      <c r="C611" s="8" t="s">
        <v>756</v>
      </c>
      <c r="D611" s="7" t="s">
        <v>755</v>
      </c>
      <c r="E611" s="8" t="s">
        <v>182</v>
      </c>
      <c r="F611" s="7">
        <v>-850</v>
      </c>
      <c r="G611" s="7">
        <v>300</v>
      </c>
      <c r="H611" s="7">
        <f>(F611+G611)/2</f>
        <v>-275</v>
      </c>
      <c r="I611" s="9">
        <v>5</v>
      </c>
      <c r="J611" s="10" t="s">
        <v>81</v>
      </c>
      <c r="K611" s="8" t="s">
        <v>137</v>
      </c>
      <c r="L611" s="8" t="s">
        <v>138</v>
      </c>
      <c r="M611" s="8"/>
      <c r="N611" s="8"/>
      <c r="O611" s="8" t="s">
        <v>44</v>
      </c>
      <c r="P611" s="11">
        <v>10.199999999999999</v>
      </c>
      <c r="Q611" s="11">
        <v>14.1</v>
      </c>
      <c r="R611" s="11">
        <v>15.8</v>
      </c>
      <c r="S611" s="11">
        <f>P611*4</f>
        <v>40.799999999999997</v>
      </c>
      <c r="T611" s="11">
        <f>Q611*4</f>
        <v>56.4</v>
      </c>
      <c r="U611" s="11">
        <f>R611*4</f>
        <v>63.2</v>
      </c>
      <c r="V611" s="12">
        <f>(4/3)*3.14*(U611/2)^3</f>
        <v>132108.15658666668</v>
      </c>
      <c r="W611" s="12">
        <f>V611/1000</f>
        <v>132.10815658666667</v>
      </c>
    </row>
    <row r="612" spans="1:23" x14ac:dyDescent="0.25">
      <c r="A612" s="7">
        <v>614</v>
      </c>
      <c r="B612" s="8" t="s">
        <v>745</v>
      </c>
      <c r="C612" s="8" t="s">
        <v>757</v>
      </c>
      <c r="D612" s="7" t="s">
        <v>755</v>
      </c>
      <c r="E612" s="8" t="s">
        <v>182</v>
      </c>
      <c r="F612" s="7">
        <v>-850</v>
      </c>
      <c r="G612" s="7">
        <v>300</v>
      </c>
      <c r="H612" s="7">
        <f>(F612+G612)/2</f>
        <v>-275</v>
      </c>
      <c r="I612" s="9">
        <v>4</v>
      </c>
      <c r="J612" s="10" t="s">
        <v>81</v>
      </c>
      <c r="K612" s="8" t="s">
        <v>157</v>
      </c>
      <c r="L612" s="8" t="s">
        <v>38</v>
      </c>
      <c r="M612" s="8"/>
      <c r="N612" s="8"/>
      <c r="O612" s="8" t="s">
        <v>44</v>
      </c>
      <c r="P612" s="11">
        <v>14</v>
      </c>
      <c r="Q612" s="11">
        <v>9.1</v>
      </c>
      <c r="R612" s="11">
        <v>14</v>
      </c>
      <c r="S612" s="11">
        <f>P612*4</f>
        <v>56</v>
      </c>
      <c r="T612" s="11">
        <f>Q612*4</f>
        <v>36.4</v>
      </c>
      <c r="U612" s="11">
        <f>R612*4</f>
        <v>56</v>
      </c>
      <c r="V612" s="12">
        <f>(2/3)*3.14*(U612/2)^3</f>
        <v>45952.853333333333</v>
      </c>
      <c r="W612" s="12">
        <f>V612/1000</f>
        <v>45.95285333333333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Søren Pedersen</dc:creator>
  <cp:lastModifiedBy>Søren Pedersen</cp:lastModifiedBy>
  <dcterms:created xsi:type="dcterms:W3CDTF">2025-11-17T16:15:32Z</dcterms:created>
  <dcterms:modified xsi:type="dcterms:W3CDTF">2025-11-17T16:16:34Z</dcterms:modified>
</cp:coreProperties>
</file>
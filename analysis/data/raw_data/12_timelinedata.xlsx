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ere\Desktop\PhD_MainRepo\Database\Excel\"/>
    </mc:Choice>
  </mc:AlternateContent>
  <xr:revisionPtr revIDLastSave="0" documentId="13_ncr:1_{4431EC9D-0D23-43CB-A12A-397108531AC7}" xr6:coauthVersionLast="47" xr6:coauthVersionMax="47" xr10:uidLastSave="{00000000-0000-0000-0000-000000000000}"/>
  <bookViews>
    <workbookView xWindow="-120" yWindow="-120" windowWidth="38640" windowHeight="21120" xr2:uid="{61AFFBB7-2599-429D-8465-17DE11B25F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63" i="1" l="1"/>
  <c r="P563" i="1"/>
  <c r="O563" i="1"/>
  <c r="Q502" i="1"/>
  <c r="P502" i="1"/>
  <c r="O502" i="1"/>
  <c r="Q500" i="1"/>
  <c r="P500" i="1"/>
  <c r="O500" i="1"/>
  <c r="Q497" i="1"/>
  <c r="P497" i="1"/>
  <c r="O497" i="1"/>
  <c r="Q496" i="1"/>
  <c r="P496" i="1"/>
  <c r="O496" i="1"/>
  <c r="Q495" i="1"/>
  <c r="P495" i="1"/>
  <c r="O495" i="1"/>
  <c r="Q490" i="1"/>
  <c r="P490" i="1"/>
  <c r="O490" i="1"/>
  <c r="Q489" i="1"/>
  <c r="P489" i="1"/>
  <c r="O489" i="1"/>
  <c r="Q488" i="1"/>
  <c r="P488" i="1"/>
  <c r="O488" i="1"/>
  <c r="Q487" i="1"/>
  <c r="P487" i="1"/>
  <c r="O487" i="1"/>
  <c r="Q486" i="1"/>
  <c r="P486" i="1"/>
  <c r="O486" i="1"/>
  <c r="Q478" i="1"/>
  <c r="P478" i="1"/>
  <c r="O478" i="1"/>
  <c r="Q477" i="1"/>
  <c r="P477" i="1"/>
  <c r="O477" i="1"/>
  <c r="Q476" i="1"/>
  <c r="P476" i="1"/>
  <c r="O476" i="1"/>
  <c r="Q470" i="1"/>
  <c r="P470" i="1"/>
  <c r="O470" i="1"/>
  <c r="Q469" i="1"/>
  <c r="P469" i="1"/>
  <c r="O469" i="1"/>
  <c r="Q468" i="1"/>
  <c r="P468" i="1"/>
  <c r="O468" i="1"/>
  <c r="Q467" i="1"/>
  <c r="P467" i="1"/>
  <c r="O467" i="1"/>
  <c r="Q466" i="1"/>
  <c r="P466" i="1"/>
  <c r="O466" i="1"/>
  <c r="Q465" i="1"/>
  <c r="P465" i="1"/>
  <c r="O465" i="1"/>
  <c r="Q464" i="1"/>
  <c r="P464" i="1"/>
  <c r="O464" i="1"/>
  <c r="Q463" i="1"/>
  <c r="P463" i="1"/>
  <c r="O463" i="1"/>
  <c r="Q462" i="1"/>
  <c r="P462" i="1"/>
  <c r="O462" i="1"/>
  <c r="Q461" i="1"/>
  <c r="P461" i="1"/>
  <c r="O461" i="1"/>
  <c r="Q460" i="1"/>
  <c r="P460" i="1"/>
  <c r="O460" i="1"/>
  <c r="Q459" i="1"/>
  <c r="P459" i="1"/>
  <c r="O459" i="1"/>
  <c r="Q458" i="1"/>
  <c r="P458" i="1"/>
  <c r="O458" i="1"/>
  <c r="Q457" i="1"/>
  <c r="P457" i="1"/>
  <c r="O457" i="1"/>
  <c r="Q456" i="1"/>
  <c r="P456" i="1"/>
  <c r="O456" i="1"/>
  <c r="Q455" i="1"/>
  <c r="P455" i="1"/>
  <c r="O455" i="1"/>
  <c r="Q454" i="1"/>
  <c r="P454" i="1"/>
  <c r="O454" i="1"/>
  <c r="Q453" i="1"/>
  <c r="P453" i="1"/>
  <c r="O453" i="1"/>
  <c r="Q452" i="1"/>
  <c r="P452" i="1"/>
  <c r="O452" i="1"/>
  <c r="Q451" i="1"/>
  <c r="P451" i="1"/>
  <c r="O451" i="1"/>
  <c r="Q450" i="1"/>
  <c r="P450" i="1"/>
  <c r="O450" i="1"/>
  <c r="Q449" i="1"/>
  <c r="P449" i="1"/>
  <c r="O449" i="1"/>
  <c r="Q448" i="1"/>
  <c r="P448" i="1"/>
  <c r="O448" i="1"/>
  <c r="Q447" i="1"/>
  <c r="P447" i="1"/>
  <c r="O447" i="1"/>
  <c r="Q445" i="1"/>
  <c r="P445" i="1"/>
  <c r="O445" i="1"/>
  <c r="Q444" i="1"/>
  <c r="P444" i="1"/>
  <c r="O444" i="1"/>
  <c r="Q443" i="1"/>
  <c r="P443" i="1"/>
  <c r="O443" i="1"/>
  <c r="Q441" i="1"/>
  <c r="P441" i="1"/>
  <c r="O441" i="1"/>
  <c r="Q501" i="1"/>
  <c r="P501" i="1"/>
  <c r="O501" i="1"/>
  <c r="Q499" i="1"/>
  <c r="P499" i="1"/>
  <c r="O499" i="1"/>
  <c r="Q498" i="1"/>
  <c r="P498" i="1"/>
  <c r="O498" i="1"/>
  <c r="Q494" i="1"/>
  <c r="P494" i="1"/>
  <c r="O494" i="1"/>
  <c r="Q493" i="1"/>
  <c r="P493" i="1"/>
  <c r="O493" i="1"/>
  <c r="Q492" i="1"/>
  <c r="P492" i="1"/>
  <c r="O492" i="1"/>
  <c r="Q491" i="1"/>
  <c r="P491" i="1"/>
  <c r="O491" i="1"/>
  <c r="Q446" i="1"/>
  <c r="P446" i="1"/>
  <c r="O446" i="1"/>
  <c r="Q442" i="1"/>
  <c r="P442" i="1"/>
  <c r="O442" i="1"/>
  <c r="Q440" i="1"/>
  <c r="P440" i="1"/>
  <c r="O440" i="1"/>
  <c r="Q566" i="1"/>
  <c r="P566" i="1"/>
  <c r="O566" i="1"/>
  <c r="Q314" i="1"/>
  <c r="P314" i="1"/>
  <c r="O314" i="1"/>
  <c r="Q83" i="1"/>
  <c r="P83" i="1"/>
  <c r="O83" i="1"/>
  <c r="Q50" i="1"/>
  <c r="P50" i="1"/>
  <c r="O50" i="1"/>
  <c r="Q561" i="1"/>
  <c r="P561" i="1"/>
  <c r="O561" i="1"/>
  <c r="Q415" i="1"/>
  <c r="P415" i="1"/>
  <c r="O415" i="1"/>
  <c r="Q316" i="1"/>
  <c r="P316" i="1"/>
  <c r="O316" i="1"/>
  <c r="Q315" i="1"/>
  <c r="P315" i="1"/>
  <c r="O315" i="1"/>
  <c r="Q309" i="1"/>
  <c r="R309" i="1" s="1"/>
  <c r="P309" i="1"/>
  <c r="O309" i="1"/>
  <c r="Q8" i="1"/>
  <c r="P8" i="1"/>
  <c r="O8" i="1"/>
  <c r="Q6" i="1"/>
  <c r="P6" i="1"/>
  <c r="O6" i="1"/>
  <c r="Q559" i="1"/>
  <c r="P559" i="1"/>
  <c r="O559" i="1"/>
  <c r="Q558" i="1"/>
  <c r="P558" i="1"/>
  <c r="O558" i="1"/>
  <c r="Q402" i="1"/>
  <c r="P402" i="1"/>
  <c r="O402" i="1"/>
  <c r="Q389" i="1"/>
  <c r="P389" i="1"/>
  <c r="O389" i="1"/>
  <c r="Q388" i="1"/>
  <c r="P388" i="1"/>
  <c r="O388" i="1"/>
  <c r="Q361" i="1"/>
  <c r="P361" i="1"/>
  <c r="O361" i="1"/>
  <c r="Q342" i="1"/>
  <c r="P342" i="1"/>
  <c r="O342" i="1"/>
  <c r="Q328" i="1"/>
  <c r="P328" i="1"/>
  <c r="O328" i="1"/>
  <c r="Q327" i="1"/>
  <c r="P327" i="1"/>
  <c r="O327" i="1"/>
  <c r="Q326" i="1"/>
  <c r="P326" i="1"/>
  <c r="O326" i="1"/>
  <c r="Q310" i="1"/>
  <c r="R310" i="1" s="1"/>
  <c r="P310" i="1"/>
  <c r="O310" i="1"/>
  <c r="Q220" i="1"/>
  <c r="P220" i="1"/>
  <c r="O220" i="1"/>
  <c r="Q219" i="1"/>
  <c r="P219" i="1"/>
  <c r="O219" i="1"/>
  <c r="Q204" i="1"/>
  <c r="P204" i="1"/>
  <c r="O204" i="1"/>
  <c r="Q202" i="1"/>
  <c r="P202" i="1"/>
  <c r="O202" i="1"/>
  <c r="Q197" i="1"/>
  <c r="P197" i="1"/>
  <c r="O197" i="1"/>
  <c r="Q176" i="1"/>
  <c r="P176" i="1"/>
  <c r="O176" i="1"/>
  <c r="Q174" i="1"/>
  <c r="P174" i="1"/>
  <c r="O174" i="1"/>
  <c r="Q172" i="1"/>
  <c r="P172" i="1"/>
  <c r="O172" i="1"/>
  <c r="Q166" i="1"/>
  <c r="P166" i="1"/>
  <c r="O166" i="1"/>
  <c r="Q85" i="1"/>
  <c r="P85" i="1"/>
  <c r="O85" i="1"/>
  <c r="Q72" i="1"/>
  <c r="P72" i="1"/>
  <c r="O72" i="1"/>
  <c r="Q71" i="1"/>
  <c r="P71" i="1"/>
  <c r="O71" i="1"/>
  <c r="Q68" i="1"/>
  <c r="P68" i="1"/>
  <c r="O68" i="1"/>
  <c r="Q9" i="1"/>
  <c r="P9" i="1"/>
  <c r="O9" i="1"/>
  <c r="Q336" i="1"/>
  <c r="P336" i="1"/>
  <c r="O336" i="1"/>
  <c r="Q325" i="1"/>
  <c r="P325" i="1"/>
  <c r="O325" i="1"/>
  <c r="Q324" i="1"/>
  <c r="P324" i="1"/>
  <c r="O324" i="1"/>
  <c r="Q323" i="1"/>
  <c r="P323" i="1"/>
  <c r="O323" i="1"/>
  <c r="Q212" i="1"/>
  <c r="P212" i="1"/>
  <c r="O212" i="1"/>
  <c r="Q208" i="1"/>
  <c r="P208" i="1"/>
  <c r="O208" i="1"/>
  <c r="Q192" i="1"/>
  <c r="P192" i="1"/>
  <c r="O192" i="1"/>
  <c r="Q191" i="1"/>
  <c r="P191" i="1"/>
  <c r="O191" i="1"/>
  <c r="Q171" i="1"/>
  <c r="P171" i="1"/>
  <c r="O171" i="1"/>
  <c r="Q167" i="1"/>
  <c r="P167" i="1"/>
  <c r="O167" i="1"/>
  <c r="Q20" i="1"/>
  <c r="P20" i="1"/>
  <c r="O20" i="1"/>
  <c r="Q7" i="1"/>
  <c r="P7" i="1"/>
  <c r="O7" i="1"/>
  <c r="Q557" i="1"/>
  <c r="P557" i="1"/>
  <c r="O557" i="1"/>
  <c r="Q194" i="1"/>
  <c r="P194" i="1"/>
  <c r="O194" i="1"/>
  <c r="Q193" i="1"/>
  <c r="P193" i="1"/>
  <c r="O193" i="1"/>
  <c r="Q157" i="1"/>
  <c r="P157" i="1"/>
  <c r="O157" i="1"/>
  <c r="Q128" i="1"/>
  <c r="P128" i="1"/>
  <c r="O128" i="1"/>
  <c r="Q127" i="1"/>
  <c r="P127" i="1"/>
  <c r="O127" i="1"/>
  <c r="Q64" i="1"/>
  <c r="P64" i="1"/>
  <c r="O64" i="1"/>
  <c r="Q59" i="1"/>
  <c r="P59" i="1"/>
  <c r="O59" i="1"/>
  <c r="Q27" i="1"/>
  <c r="P27" i="1"/>
  <c r="O27" i="1"/>
  <c r="Q26" i="1"/>
  <c r="P26" i="1"/>
  <c r="O26" i="1"/>
  <c r="Q11" i="1"/>
  <c r="P11" i="1"/>
  <c r="O11" i="1"/>
  <c r="Q555" i="1"/>
  <c r="P555" i="1"/>
  <c r="O555" i="1"/>
  <c r="Q426" i="1"/>
  <c r="P426" i="1"/>
  <c r="O426" i="1"/>
  <c r="Q425" i="1"/>
  <c r="P425" i="1"/>
  <c r="O425" i="1"/>
  <c r="Q424" i="1"/>
  <c r="P424" i="1"/>
  <c r="O424" i="1"/>
  <c r="Q390" i="1"/>
  <c r="P390" i="1"/>
  <c r="O390" i="1"/>
  <c r="Q378" i="1"/>
  <c r="P378" i="1"/>
  <c r="O378" i="1"/>
  <c r="Q373" i="1"/>
  <c r="P373" i="1"/>
  <c r="O373" i="1"/>
  <c r="Q372" i="1"/>
  <c r="P372" i="1"/>
  <c r="O372" i="1"/>
  <c r="Q371" i="1"/>
  <c r="P371" i="1"/>
  <c r="O371" i="1"/>
  <c r="Q370" i="1"/>
  <c r="P370" i="1"/>
  <c r="O370" i="1"/>
  <c r="Q364" i="1"/>
  <c r="P364" i="1"/>
  <c r="O364" i="1"/>
  <c r="Q360" i="1"/>
  <c r="P360" i="1"/>
  <c r="O360" i="1"/>
  <c r="Q354" i="1"/>
  <c r="P354" i="1"/>
  <c r="O354" i="1"/>
  <c r="Q353" i="1"/>
  <c r="P353" i="1"/>
  <c r="O353" i="1"/>
  <c r="Q352" i="1"/>
  <c r="P352" i="1"/>
  <c r="O352" i="1"/>
  <c r="Q348" i="1"/>
  <c r="P348" i="1"/>
  <c r="O348" i="1"/>
  <c r="Q332" i="1"/>
  <c r="P332" i="1"/>
  <c r="O332" i="1"/>
  <c r="Q177" i="1"/>
  <c r="P177" i="1"/>
  <c r="O177" i="1"/>
  <c r="Q175" i="1"/>
  <c r="P175" i="1"/>
  <c r="O175" i="1"/>
  <c r="Q165" i="1"/>
  <c r="P165" i="1"/>
  <c r="O165" i="1"/>
  <c r="Q160" i="1"/>
  <c r="P160" i="1"/>
  <c r="O160" i="1"/>
  <c r="Q159" i="1"/>
  <c r="P159" i="1"/>
  <c r="O159" i="1"/>
  <c r="Q158" i="1"/>
  <c r="P158" i="1"/>
  <c r="O158" i="1"/>
  <c r="Q155" i="1"/>
  <c r="P155" i="1"/>
  <c r="O155" i="1"/>
  <c r="Q154" i="1"/>
  <c r="P154" i="1"/>
  <c r="O154" i="1"/>
  <c r="Q153" i="1"/>
  <c r="P153" i="1"/>
  <c r="O153" i="1"/>
  <c r="Q150" i="1"/>
  <c r="P150" i="1"/>
  <c r="O150" i="1"/>
  <c r="Q148" i="1"/>
  <c r="P148" i="1"/>
  <c r="O148" i="1"/>
  <c r="Q147" i="1"/>
  <c r="P147" i="1"/>
  <c r="O147" i="1"/>
  <c r="Q146" i="1"/>
  <c r="P146" i="1"/>
  <c r="O146" i="1"/>
  <c r="Q144" i="1"/>
  <c r="P144" i="1"/>
  <c r="O144" i="1"/>
  <c r="Q137" i="1"/>
  <c r="P137" i="1"/>
  <c r="O137" i="1"/>
  <c r="Q136" i="1"/>
  <c r="P136" i="1"/>
  <c r="O136" i="1"/>
  <c r="Q126" i="1"/>
  <c r="P126" i="1"/>
  <c r="O126" i="1"/>
  <c r="Q118" i="1"/>
  <c r="P118" i="1"/>
  <c r="O118" i="1"/>
  <c r="Q58" i="1"/>
  <c r="P58" i="1"/>
  <c r="O58" i="1"/>
  <c r="Q25" i="1"/>
  <c r="P25" i="1"/>
  <c r="O25" i="1"/>
  <c r="Q10" i="1"/>
  <c r="P10" i="1"/>
  <c r="O10" i="1"/>
  <c r="Q603" i="1"/>
  <c r="R603" i="1" s="1"/>
  <c r="S603" i="1" s="1"/>
  <c r="P603" i="1"/>
  <c r="O603" i="1"/>
  <c r="Q601" i="1"/>
  <c r="R601" i="1" s="1"/>
  <c r="S601" i="1" s="1"/>
  <c r="P601" i="1"/>
  <c r="O601" i="1"/>
  <c r="Q595" i="1"/>
  <c r="R595" i="1" s="1"/>
  <c r="S595" i="1" s="1"/>
  <c r="P595" i="1"/>
  <c r="O595" i="1"/>
  <c r="Q586" i="1"/>
  <c r="R586" i="1" s="1"/>
  <c r="S586" i="1" s="1"/>
  <c r="P586" i="1"/>
  <c r="O586" i="1"/>
  <c r="Q582" i="1"/>
  <c r="R582" i="1" s="1"/>
  <c r="S582" i="1" s="1"/>
  <c r="P582" i="1"/>
  <c r="O582" i="1"/>
  <c r="Q581" i="1"/>
  <c r="R581" i="1" s="1"/>
  <c r="S581" i="1" s="1"/>
  <c r="P581" i="1"/>
  <c r="O581" i="1"/>
  <c r="Q560" i="1"/>
  <c r="R560" i="1" s="1"/>
  <c r="S560" i="1" s="1"/>
  <c r="P560" i="1"/>
  <c r="O560" i="1"/>
  <c r="Q546" i="1"/>
  <c r="R546" i="1" s="1"/>
  <c r="S546" i="1" s="1"/>
  <c r="P546" i="1"/>
  <c r="O546" i="1"/>
  <c r="Q545" i="1"/>
  <c r="R545" i="1" s="1"/>
  <c r="S545" i="1" s="1"/>
  <c r="P545" i="1"/>
  <c r="O545" i="1"/>
  <c r="Q541" i="1"/>
  <c r="R541" i="1" s="1"/>
  <c r="S541" i="1" s="1"/>
  <c r="P541" i="1"/>
  <c r="O541" i="1"/>
  <c r="Q539" i="1"/>
  <c r="R539" i="1" s="1"/>
  <c r="S539" i="1" s="1"/>
  <c r="P539" i="1"/>
  <c r="O539" i="1"/>
  <c r="Q479" i="1"/>
  <c r="R479" i="1" s="1"/>
  <c r="S479" i="1" s="1"/>
  <c r="P479" i="1"/>
  <c r="O479" i="1"/>
  <c r="Q416" i="1"/>
  <c r="P416" i="1"/>
  <c r="O416" i="1"/>
  <c r="Q414" i="1"/>
  <c r="R414" i="1" s="1"/>
  <c r="P414" i="1"/>
  <c r="O414" i="1"/>
  <c r="Q413" i="1"/>
  <c r="R413" i="1" s="1"/>
  <c r="S413" i="1" s="1"/>
  <c r="P413" i="1"/>
  <c r="O413" i="1"/>
  <c r="Q391" i="1"/>
  <c r="R391" i="1" s="1"/>
  <c r="S391" i="1" s="1"/>
  <c r="P391" i="1"/>
  <c r="O391" i="1"/>
  <c r="Q387" i="1"/>
  <c r="R387" i="1" s="1"/>
  <c r="S387" i="1" s="1"/>
  <c r="P387" i="1"/>
  <c r="O387" i="1"/>
  <c r="Q375" i="1"/>
  <c r="R375" i="1" s="1"/>
  <c r="S375" i="1" s="1"/>
  <c r="P375" i="1"/>
  <c r="O375" i="1"/>
  <c r="Q344" i="1"/>
  <c r="R344" i="1" s="1"/>
  <c r="S344" i="1" s="1"/>
  <c r="P344" i="1"/>
  <c r="O344" i="1"/>
  <c r="Q313" i="1"/>
  <c r="R313" i="1" s="1"/>
  <c r="S313" i="1" s="1"/>
  <c r="P313" i="1"/>
  <c r="O313" i="1"/>
  <c r="Q235" i="1"/>
  <c r="R235" i="1" s="1"/>
  <c r="S235" i="1" s="1"/>
  <c r="P235" i="1"/>
  <c r="O235" i="1"/>
  <c r="Q232" i="1"/>
  <c r="R232" i="1" s="1"/>
  <c r="S232" i="1" s="1"/>
  <c r="P232" i="1"/>
  <c r="O232" i="1"/>
  <c r="Q143" i="1"/>
  <c r="R143" i="1" s="1"/>
  <c r="S143" i="1" s="1"/>
  <c r="P143" i="1"/>
  <c r="O143" i="1"/>
  <c r="Q142" i="1"/>
  <c r="R142" i="1" s="1"/>
  <c r="S142" i="1" s="1"/>
  <c r="P142" i="1"/>
  <c r="O142" i="1"/>
  <c r="Q120" i="1"/>
  <c r="R120" i="1" s="1"/>
  <c r="S120" i="1" s="1"/>
  <c r="P120" i="1"/>
  <c r="O120" i="1"/>
  <c r="Q78" i="1"/>
  <c r="R78" i="1" s="1"/>
  <c r="S78" i="1" s="1"/>
  <c r="P78" i="1"/>
  <c r="O78" i="1"/>
  <c r="Q73" i="1"/>
  <c r="R73" i="1" s="1"/>
  <c r="S73" i="1" s="1"/>
  <c r="P73" i="1"/>
  <c r="O73" i="1"/>
  <c r="Q52" i="1"/>
  <c r="R52" i="1" s="1"/>
  <c r="S52" i="1" s="1"/>
  <c r="P52" i="1"/>
  <c r="O52" i="1"/>
  <c r="Q51" i="1"/>
  <c r="R51" i="1" s="1"/>
  <c r="S51" i="1" s="1"/>
  <c r="P51" i="1"/>
  <c r="O51" i="1"/>
  <c r="Q39" i="1"/>
  <c r="R39" i="1" s="1"/>
  <c r="S39" i="1" s="1"/>
  <c r="P39" i="1"/>
  <c r="O39" i="1"/>
  <c r="Q38" i="1"/>
  <c r="R38" i="1" s="1"/>
  <c r="S38" i="1" s="1"/>
  <c r="P38" i="1"/>
  <c r="O38" i="1"/>
  <c r="Q37" i="1"/>
  <c r="R37" i="1" s="1"/>
  <c r="S37" i="1" s="1"/>
  <c r="P37" i="1"/>
  <c r="O37" i="1"/>
  <c r="Q5" i="1"/>
  <c r="R5" i="1" s="1"/>
  <c r="S5" i="1" s="1"/>
  <c r="P5" i="1"/>
  <c r="O5" i="1"/>
  <c r="Q611" i="1"/>
  <c r="R611" i="1" s="1"/>
  <c r="S611" i="1" s="1"/>
  <c r="P611" i="1"/>
  <c r="O611" i="1"/>
  <c r="Q610" i="1"/>
  <c r="R610" i="1" s="1"/>
  <c r="S610" i="1" s="1"/>
  <c r="P610" i="1"/>
  <c r="O610" i="1"/>
  <c r="Q609" i="1"/>
  <c r="R609" i="1" s="1"/>
  <c r="S609" i="1" s="1"/>
  <c r="P609" i="1"/>
  <c r="O609" i="1"/>
  <c r="Q608" i="1"/>
  <c r="R608" i="1" s="1"/>
  <c r="S608" i="1" s="1"/>
  <c r="P608" i="1"/>
  <c r="O608" i="1"/>
  <c r="Q607" i="1"/>
  <c r="R607" i="1" s="1"/>
  <c r="S607" i="1" s="1"/>
  <c r="P607" i="1"/>
  <c r="O607" i="1"/>
  <c r="Q602" i="1"/>
  <c r="R602" i="1" s="1"/>
  <c r="S602" i="1" s="1"/>
  <c r="P602" i="1"/>
  <c r="O602" i="1"/>
  <c r="Q599" i="1"/>
  <c r="R599" i="1" s="1"/>
  <c r="S599" i="1" s="1"/>
  <c r="P599" i="1"/>
  <c r="O599" i="1"/>
  <c r="Q598" i="1"/>
  <c r="R598" i="1" s="1"/>
  <c r="S598" i="1" s="1"/>
  <c r="P598" i="1"/>
  <c r="O598" i="1"/>
  <c r="Q597" i="1"/>
  <c r="R597" i="1" s="1"/>
  <c r="S597" i="1" s="1"/>
  <c r="P597" i="1"/>
  <c r="O597" i="1"/>
  <c r="Q596" i="1"/>
  <c r="R596" i="1" s="1"/>
  <c r="S596" i="1" s="1"/>
  <c r="P596" i="1"/>
  <c r="O596" i="1"/>
  <c r="Q584" i="1"/>
  <c r="R584" i="1" s="1"/>
  <c r="S584" i="1" s="1"/>
  <c r="P584" i="1"/>
  <c r="O584" i="1"/>
  <c r="Q583" i="1"/>
  <c r="R583" i="1" s="1"/>
  <c r="S583" i="1" s="1"/>
  <c r="P583" i="1"/>
  <c r="O583" i="1"/>
  <c r="Q580" i="1"/>
  <c r="R580" i="1" s="1"/>
  <c r="S580" i="1" s="1"/>
  <c r="P580" i="1"/>
  <c r="O580" i="1"/>
  <c r="Q577" i="1"/>
  <c r="R577" i="1" s="1"/>
  <c r="S577" i="1" s="1"/>
  <c r="P577" i="1"/>
  <c r="O577" i="1"/>
  <c r="Q576" i="1"/>
  <c r="R576" i="1" s="1"/>
  <c r="S576" i="1" s="1"/>
  <c r="P576" i="1"/>
  <c r="O576" i="1"/>
  <c r="Q575" i="1"/>
  <c r="R575" i="1" s="1"/>
  <c r="S575" i="1" s="1"/>
  <c r="P575" i="1"/>
  <c r="O575" i="1"/>
  <c r="Q574" i="1"/>
  <c r="R574" i="1" s="1"/>
  <c r="S574" i="1" s="1"/>
  <c r="P574" i="1"/>
  <c r="O574" i="1"/>
  <c r="Q573" i="1"/>
  <c r="R573" i="1" s="1"/>
  <c r="S573" i="1" s="1"/>
  <c r="P573" i="1"/>
  <c r="O573" i="1"/>
  <c r="Q572" i="1"/>
  <c r="R572" i="1" s="1"/>
  <c r="S572" i="1" s="1"/>
  <c r="P572" i="1"/>
  <c r="O572" i="1"/>
  <c r="Q571" i="1"/>
  <c r="R571" i="1" s="1"/>
  <c r="S571" i="1" s="1"/>
  <c r="P571" i="1"/>
  <c r="O571" i="1"/>
  <c r="Q570" i="1"/>
  <c r="R570" i="1" s="1"/>
  <c r="S570" i="1" s="1"/>
  <c r="P570" i="1"/>
  <c r="O570" i="1"/>
  <c r="Q569" i="1"/>
  <c r="R569" i="1" s="1"/>
  <c r="S569" i="1" s="1"/>
  <c r="P569" i="1"/>
  <c r="O569" i="1"/>
  <c r="Q553" i="1"/>
  <c r="R553" i="1" s="1"/>
  <c r="S553" i="1" s="1"/>
  <c r="P553" i="1"/>
  <c r="O553" i="1"/>
  <c r="Q551" i="1"/>
  <c r="R551" i="1" s="1"/>
  <c r="S551" i="1" s="1"/>
  <c r="P551" i="1"/>
  <c r="O551" i="1"/>
  <c r="Q549" i="1"/>
  <c r="R549" i="1" s="1"/>
  <c r="S549" i="1" s="1"/>
  <c r="P549" i="1"/>
  <c r="O549" i="1"/>
  <c r="Q544" i="1"/>
  <c r="R544" i="1" s="1"/>
  <c r="S544" i="1" s="1"/>
  <c r="P544" i="1"/>
  <c r="O544" i="1"/>
  <c r="Q543" i="1"/>
  <c r="R543" i="1" s="1"/>
  <c r="S543" i="1" s="1"/>
  <c r="P543" i="1"/>
  <c r="O543" i="1"/>
  <c r="Q542" i="1"/>
  <c r="R542" i="1" s="1"/>
  <c r="S542" i="1" s="1"/>
  <c r="P542" i="1"/>
  <c r="O542" i="1"/>
  <c r="Q540" i="1"/>
  <c r="R540" i="1" s="1"/>
  <c r="S540" i="1" s="1"/>
  <c r="P540" i="1"/>
  <c r="O540" i="1"/>
  <c r="Q538" i="1"/>
  <c r="R538" i="1" s="1"/>
  <c r="S538" i="1" s="1"/>
  <c r="P538" i="1"/>
  <c r="O538" i="1"/>
  <c r="Q537" i="1"/>
  <c r="R537" i="1" s="1"/>
  <c r="S537" i="1" s="1"/>
  <c r="P537" i="1"/>
  <c r="O537" i="1"/>
  <c r="Q536" i="1"/>
  <c r="R536" i="1" s="1"/>
  <c r="S536" i="1" s="1"/>
  <c r="P536" i="1"/>
  <c r="O536" i="1"/>
  <c r="Q535" i="1"/>
  <c r="R535" i="1" s="1"/>
  <c r="S535" i="1" s="1"/>
  <c r="P535" i="1"/>
  <c r="O535" i="1"/>
  <c r="Q534" i="1"/>
  <c r="R534" i="1" s="1"/>
  <c r="S534" i="1" s="1"/>
  <c r="P534" i="1"/>
  <c r="O534" i="1"/>
  <c r="Q533" i="1"/>
  <c r="R533" i="1" s="1"/>
  <c r="S533" i="1" s="1"/>
  <c r="P533" i="1"/>
  <c r="O533" i="1"/>
  <c r="Q532" i="1"/>
  <c r="R532" i="1" s="1"/>
  <c r="S532" i="1" s="1"/>
  <c r="P532" i="1"/>
  <c r="O532" i="1"/>
  <c r="Q531" i="1"/>
  <c r="R531" i="1" s="1"/>
  <c r="S531" i="1" s="1"/>
  <c r="P531" i="1"/>
  <c r="O531" i="1"/>
  <c r="Q530" i="1"/>
  <c r="R530" i="1" s="1"/>
  <c r="S530" i="1" s="1"/>
  <c r="P530" i="1"/>
  <c r="O530" i="1"/>
  <c r="Q529" i="1"/>
  <c r="R529" i="1" s="1"/>
  <c r="S529" i="1" s="1"/>
  <c r="P529" i="1"/>
  <c r="O529" i="1"/>
  <c r="Q528" i="1"/>
  <c r="R528" i="1" s="1"/>
  <c r="S528" i="1" s="1"/>
  <c r="P528" i="1"/>
  <c r="O528" i="1"/>
  <c r="Q527" i="1"/>
  <c r="R527" i="1" s="1"/>
  <c r="S527" i="1" s="1"/>
  <c r="P527" i="1"/>
  <c r="O527" i="1"/>
  <c r="Q526" i="1"/>
  <c r="R526" i="1" s="1"/>
  <c r="S526" i="1" s="1"/>
  <c r="P526" i="1"/>
  <c r="O526" i="1"/>
  <c r="Q525" i="1"/>
  <c r="R525" i="1" s="1"/>
  <c r="S525" i="1" s="1"/>
  <c r="P525" i="1"/>
  <c r="O525" i="1"/>
  <c r="Q524" i="1"/>
  <c r="R524" i="1" s="1"/>
  <c r="S524" i="1" s="1"/>
  <c r="P524" i="1"/>
  <c r="O524" i="1"/>
  <c r="Q523" i="1"/>
  <c r="R523" i="1" s="1"/>
  <c r="S523" i="1" s="1"/>
  <c r="P523" i="1"/>
  <c r="O523" i="1"/>
  <c r="Q522" i="1"/>
  <c r="R522" i="1" s="1"/>
  <c r="S522" i="1" s="1"/>
  <c r="P522" i="1"/>
  <c r="O522" i="1"/>
  <c r="Q521" i="1"/>
  <c r="R521" i="1" s="1"/>
  <c r="S521" i="1" s="1"/>
  <c r="P521" i="1"/>
  <c r="O521" i="1"/>
  <c r="Q520" i="1"/>
  <c r="R520" i="1" s="1"/>
  <c r="S520" i="1" s="1"/>
  <c r="P520" i="1"/>
  <c r="O520" i="1"/>
  <c r="Q519" i="1"/>
  <c r="R519" i="1" s="1"/>
  <c r="S519" i="1" s="1"/>
  <c r="P519" i="1"/>
  <c r="O519" i="1"/>
  <c r="Q518" i="1"/>
  <c r="R518" i="1" s="1"/>
  <c r="S518" i="1" s="1"/>
  <c r="P518" i="1"/>
  <c r="O518" i="1"/>
  <c r="Q517" i="1"/>
  <c r="R517" i="1" s="1"/>
  <c r="S517" i="1" s="1"/>
  <c r="P517" i="1"/>
  <c r="O517" i="1"/>
  <c r="Q514" i="1"/>
  <c r="R514" i="1" s="1"/>
  <c r="S514" i="1" s="1"/>
  <c r="P514" i="1"/>
  <c r="O514" i="1"/>
  <c r="Q508" i="1"/>
  <c r="R508" i="1" s="1"/>
  <c r="S508" i="1" s="1"/>
  <c r="P508" i="1"/>
  <c r="O508" i="1"/>
  <c r="Q504" i="1"/>
  <c r="R504" i="1" s="1"/>
  <c r="S504" i="1" s="1"/>
  <c r="P504" i="1"/>
  <c r="O504" i="1"/>
  <c r="Q503" i="1"/>
  <c r="R503" i="1" s="1"/>
  <c r="S503" i="1" s="1"/>
  <c r="P503" i="1"/>
  <c r="O503" i="1"/>
  <c r="Q484" i="1"/>
  <c r="R484" i="1" s="1"/>
  <c r="S484" i="1" s="1"/>
  <c r="P484" i="1"/>
  <c r="O484" i="1"/>
  <c r="Q482" i="1"/>
  <c r="R482" i="1" s="1"/>
  <c r="S482" i="1" s="1"/>
  <c r="P482" i="1"/>
  <c r="O482" i="1"/>
  <c r="Q475" i="1"/>
  <c r="R475" i="1" s="1"/>
  <c r="S475" i="1" s="1"/>
  <c r="P475" i="1"/>
  <c r="O475" i="1"/>
  <c r="Q472" i="1"/>
  <c r="R472" i="1" s="1"/>
  <c r="S472" i="1" s="1"/>
  <c r="P472" i="1"/>
  <c r="O472" i="1"/>
  <c r="Q471" i="1"/>
  <c r="R471" i="1" s="1"/>
  <c r="S471" i="1" s="1"/>
  <c r="P471" i="1"/>
  <c r="O471" i="1"/>
  <c r="Q439" i="1"/>
  <c r="R439" i="1" s="1"/>
  <c r="S439" i="1" s="1"/>
  <c r="P439" i="1"/>
  <c r="O439" i="1"/>
  <c r="Q437" i="1"/>
  <c r="R437" i="1" s="1"/>
  <c r="S437" i="1" s="1"/>
  <c r="P437" i="1"/>
  <c r="O437" i="1"/>
  <c r="Q435" i="1"/>
  <c r="R435" i="1" s="1"/>
  <c r="S435" i="1" s="1"/>
  <c r="P435" i="1"/>
  <c r="O435" i="1"/>
  <c r="Q434" i="1"/>
  <c r="R434" i="1" s="1"/>
  <c r="S434" i="1" s="1"/>
  <c r="P434" i="1"/>
  <c r="O434" i="1"/>
  <c r="Q433" i="1"/>
  <c r="R433" i="1" s="1"/>
  <c r="S433" i="1" s="1"/>
  <c r="P433" i="1"/>
  <c r="O433" i="1"/>
  <c r="Q432" i="1"/>
  <c r="R432" i="1" s="1"/>
  <c r="S432" i="1" s="1"/>
  <c r="P432" i="1"/>
  <c r="O432" i="1"/>
  <c r="Q422" i="1"/>
  <c r="R422" i="1" s="1"/>
  <c r="S422" i="1" s="1"/>
  <c r="P422" i="1"/>
  <c r="O422" i="1"/>
  <c r="Q421" i="1"/>
  <c r="R421" i="1" s="1"/>
  <c r="S421" i="1" s="1"/>
  <c r="P421" i="1"/>
  <c r="O421" i="1"/>
  <c r="Q420" i="1"/>
  <c r="R420" i="1" s="1"/>
  <c r="S420" i="1" s="1"/>
  <c r="P420" i="1"/>
  <c r="O420" i="1"/>
  <c r="Q419" i="1"/>
  <c r="R419" i="1" s="1"/>
  <c r="S419" i="1" s="1"/>
  <c r="P419" i="1"/>
  <c r="O419" i="1"/>
  <c r="Q418" i="1"/>
  <c r="R418" i="1" s="1"/>
  <c r="S418" i="1" s="1"/>
  <c r="P418" i="1"/>
  <c r="O418" i="1"/>
  <c r="Q417" i="1"/>
  <c r="R417" i="1" s="1"/>
  <c r="S417" i="1" s="1"/>
  <c r="P417" i="1"/>
  <c r="O417" i="1"/>
  <c r="Q412" i="1"/>
  <c r="R412" i="1" s="1"/>
  <c r="S412" i="1" s="1"/>
  <c r="P412" i="1"/>
  <c r="O412" i="1"/>
  <c r="Q411" i="1"/>
  <c r="R411" i="1" s="1"/>
  <c r="S411" i="1" s="1"/>
  <c r="P411" i="1"/>
  <c r="O411" i="1"/>
  <c r="Q410" i="1"/>
  <c r="R410" i="1" s="1"/>
  <c r="S410" i="1" s="1"/>
  <c r="P410" i="1"/>
  <c r="O410" i="1"/>
  <c r="Q409" i="1"/>
  <c r="R409" i="1" s="1"/>
  <c r="S409" i="1" s="1"/>
  <c r="P409" i="1"/>
  <c r="O409" i="1"/>
  <c r="Q408" i="1"/>
  <c r="R408" i="1" s="1"/>
  <c r="S408" i="1" s="1"/>
  <c r="P408" i="1"/>
  <c r="O408" i="1"/>
  <c r="Q401" i="1"/>
  <c r="R401" i="1" s="1"/>
  <c r="S401" i="1" s="1"/>
  <c r="P401" i="1"/>
  <c r="O401" i="1"/>
  <c r="Q399" i="1"/>
  <c r="R399" i="1" s="1"/>
  <c r="S399" i="1" s="1"/>
  <c r="P399" i="1"/>
  <c r="O399" i="1"/>
  <c r="Q397" i="1"/>
  <c r="R397" i="1" s="1"/>
  <c r="S397" i="1" s="1"/>
  <c r="P397" i="1"/>
  <c r="O397" i="1"/>
  <c r="Q396" i="1"/>
  <c r="R396" i="1" s="1"/>
  <c r="S396" i="1" s="1"/>
  <c r="P396" i="1"/>
  <c r="O396" i="1"/>
  <c r="Q386" i="1"/>
  <c r="R386" i="1" s="1"/>
  <c r="S386" i="1" s="1"/>
  <c r="P386" i="1"/>
  <c r="O386" i="1"/>
  <c r="Q385" i="1"/>
  <c r="R385" i="1" s="1"/>
  <c r="S385" i="1" s="1"/>
  <c r="P385" i="1"/>
  <c r="O385" i="1"/>
  <c r="Q384" i="1"/>
  <c r="R384" i="1" s="1"/>
  <c r="S384" i="1" s="1"/>
  <c r="P384" i="1"/>
  <c r="O384" i="1"/>
  <c r="Q383" i="1"/>
  <c r="R383" i="1" s="1"/>
  <c r="S383" i="1" s="1"/>
  <c r="P383" i="1"/>
  <c r="O383" i="1"/>
  <c r="Q379" i="1"/>
  <c r="R379" i="1" s="1"/>
  <c r="S379" i="1" s="1"/>
  <c r="P379" i="1"/>
  <c r="O379" i="1"/>
  <c r="Q374" i="1"/>
  <c r="R374" i="1" s="1"/>
  <c r="S374" i="1" s="1"/>
  <c r="P374" i="1"/>
  <c r="O374" i="1"/>
  <c r="Q369" i="1"/>
  <c r="R369" i="1" s="1"/>
  <c r="S369" i="1" s="1"/>
  <c r="P369" i="1"/>
  <c r="O369" i="1"/>
  <c r="Q368" i="1"/>
  <c r="R368" i="1" s="1"/>
  <c r="S368" i="1" s="1"/>
  <c r="P368" i="1"/>
  <c r="O368" i="1"/>
  <c r="Q367" i="1"/>
  <c r="R367" i="1" s="1"/>
  <c r="S367" i="1" s="1"/>
  <c r="P367" i="1"/>
  <c r="O367" i="1"/>
  <c r="Q366" i="1"/>
  <c r="R366" i="1" s="1"/>
  <c r="S366" i="1" s="1"/>
  <c r="P366" i="1"/>
  <c r="O366" i="1"/>
  <c r="Q365" i="1"/>
  <c r="R365" i="1" s="1"/>
  <c r="S365" i="1" s="1"/>
  <c r="P365" i="1"/>
  <c r="O365" i="1"/>
  <c r="Q363" i="1"/>
  <c r="R363" i="1" s="1"/>
  <c r="S363" i="1" s="1"/>
  <c r="P363" i="1"/>
  <c r="O363" i="1"/>
  <c r="Q362" i="1"/>
  <c r="R362" i="1" s="1"/>
  <c r="S362" i="1" s="1"/>
  <c r="P362" i="1"/>
  <c r="O362" i="1"/>
  <c r="Q357" i="1"/>
  <c r="R357" i="1" s="1"/>
  <c r="S357" i="1" s="1"/>
  <c r="P357" i="1"/>
  <c r="O357" i="1"/>
  <c r="Q356" i="1"/>
  <c r="R356" i="1" s="1"/>
  <c r="S356" i="1" s="1"/>
  <c r="P356" i="1"/>
  <c r="O356" i="1"/>
  <c r="Q355" i="1"/>
  <c r="R355" i="1" s="1"/>
  <c r="S355" i="1" s="1"/>
  <c r="P355" i="1"/>
  <c r="O355" i="1"/>
  <c r="Q347" i="1"/>
  <c r="R347" i="1" s="1"/>
  <c r="S347" i="1" s="1"/>
  <c r="P347" i="1"/>
  <c r="O347" i="1"/>
  <c r="Q346" i="1"/>
  <c r="R346" i="1" s="1"/>
  <c r="S346" i="1" s="1"/>
  <c r="P346" i="1"/>
  <c r="O346" i="1"/>
  <c r="Q343" i="1"/>
  <c r="R343" i="1" s="1"/>
  <c r="S343" i="1" s="1"/>
  <c r="P343" i="1"/>
  <c r="O343" i="1"/>
  <c r="Q341" i="1"/>
  <c r="R341" i="1" s="1"/>
  <c r="S341" i="1" s="1"/>
  <c r="P341" i="1"/>
  <c r="O341" i="1"/>
  <c r="Q340" i="1"/>
  <c r="R340" i="1" s="1"/>
  <c r="S340" i="1" s="1"/>
  <c r="P340" i="1"/>
  <c r="O340" i="1"/>
  <c r="Q339" i="1"/>
  <c r="R339" i="1" s="1"/>
  <c r="S339" i="1" s="1"/>
  <c r="P339" i="1"/>
  <c r="O339" i="1"/>
  <c r="Q338" i="1"/>
  <c r="R338" i="1" s="1"/>
  <c r="S338" i="1" s="1"/>
  <c r="P338" i="1"/>
  <c r="O338" i="1"/>
  <c r="Q337" i="1"/>
  <c r="R337" i="1" s="1"/>
  <c r="S337" i="1" s="1"/>
  <c r="P337" i="1"/>
  <c r="O337" i="1"/>
  <c r="Q320" i="1"/>
  <c r="R320" i="1" s="1"/>
  <c r="S320" i="1" s="1"/>
  <c r="P320" i="1"/>
  <c r="O320" i="1"/>
  <c r="Q312" i="1"/>
  <c r="R312" i="1" s="1"/>
  <c r="S312" i="1" s="1"/>
  <c r="P312" i="1"/>
  <c r="O312" i="1"/>
  <c r="Q311" i="1"/>
  <c r="R311" i="1" s="1"/>
  <c r="S311" i="1" s="1"/>
  <c r="P311" i="1"/>
  <c r="O311" i="1"/>
  <c r="Q259" i="1"/>
  <c r="R259" i="1" s="1"/>
  <c r="S259" i="1" s="1"/>
  <c r="P259" i="1"/>
  <c r="O259" i="1"/>
  <c r="Q258" i="1"/>
  <c r="R258" i="1" s="1"/>
  <c r="S258" i="1" s="1"/>
  <c r="P258" i="1"/>
  <c r="O258" i="1"/>
  <c r="Q257" i="1"/>
  <c r="R257" i="1" s="1"/>
  <c r="S257" i="1" s="1"/>
  <c r="P257" i="1"/>
  <c r="O257" i="1"/>
  <c r="Q256" i="1"/>
  <c r="R256" i="1" s="1"/>
  <c r="S256" i="1" s="1"/>
  <c r="P256" i="1"/>
  <c r="O256" i="1"/>
  <c r="Q255" i="1"/>
  <c r="R255" i="1" s="1"/>
  <c r="S255" i="1" s="1"/>
  <c r="P255" i="1"/>
  <c r="O255" i="1"/>
  <c r="Q254" i="1"/>
  <c r="R254" i="1" s="1"/>
  <c r="S254" i="1" s="1"/>
  <c r="P254" i="1"/>
  <c r="O254" i="1"/>
  <c r="Q253" i="1"/>
  <c r="R253" i="1" s="1"/>
  <c r="S253" i="1" s="1"/>
  <c r="P253" i="1"/>
  <c r="O253" i="1"/>
  <c r="Q252" i="1"/>
  <c r="R252" i="1" s="1"/>
  <c r="S252" i="1" s="1"/>
  <c r="P252" i="1"/>
  <c r="O252" i="1"/>
  <c r="Q251" i="1"/>
  <c r="R251" i="1" s="1"/>
  <c r="S251" i="1" s="1"/>
  <c r="P251" i="1"/>
  <c r="O251" i="1"/>
  <c r="Q250" i="1"/>
  <c r="R250" i="1" s="1"/>
  <c r="S250" i="1" s="1"/>
  <c r="P250" i="1"/>
  <c r="O250" i="1"/>
  <c r="Q249" i="1"/>
  <c r="R249" i="1" s="1"/>
  <c r="S249" i="1" s="1"/>
  <c r="P249" i="1"/>
  <c r="O249" i="1"/>
  <c r="Q248" i="1"/>
  <c r="R248" i="1" s="1"/>
  <c r="S248" i="1" s="1"/>
  <c r="P248" i="1"/>
  <c r="O248" i="1"/>
  <c r="Q247" i="1"/>
  <c r="R247" i="1" s="1"/>
  <c r="S247" i="1" s="1"/>
  <c r="P247" i="1"/>
  <c r="O247" i="1"/>
  <c r="Q246" i="1"/>
  <c r="R246" i="1" s="1"/>
  <c r="S246" i="1" s="1"/>
  <c r="P246" i="1"/>
  <c r="O246" i="1"/>
  <c r="Q245" i="1"/>
  <c r="R245" i="1" s="1"/>
  <c r="S245" i="1" s="1"/>
  <c r="P245" i="1"/>
  <c r="O245" i="1"/>
  <c r="Q244" i="1"/>
  <c r="R244" i="1" s="1"/>
  <c r="S244" i="1" s="1"/>
  <c r="P244" i="1"/>
  <c r="O244" i="1"/>
  <c r="Q243" i="1"/>
  <c r="R243" i="1" s="1"/>
  <c r="S243" i="1" s="1"/>
  <c r="P243" i="1"/>
  <c r="O243" i="1"/>
  <c r="Q242" i="1"/>
  <c r="R242" i="1" s="1"/>
  <c r="S242" i="1" s="1"/>
  <c r="P242" i="1"/>
  <c r="O242" i="1"/>
  <c r="Q241" i="1"/>
  <c r="R241" i="1" s="1"/>
  <c r="S241" i="1" s="1"/>
  <c r="P241" i="1"/>
  <c r="O241" i="1"/>
  <c r="Q240" i="1"/>
  <c r="R240" i="1" s="1"/>
  <c r="S240" i="1" s="1"/>
  <c r="P240" i="1"/>
  <c r="O240" i="1"/>
  <c r="Q239" i="1"/>
  <c r="R239" i="1" s="1"/>
  <c r="S239" i="1" s="1"/>
  <c r="P239" i="1"/>
  <c r="O239" i="1"/>
  <c r="Q238" i="1"/>
  <c r="R238" i="1" s="1"/>
  <c r="S238" i="1" s="1"/>
  <c r="P238" i="1"/>
  <c r="O238" i="1"/>
  <c r="Q237" i="1"/>
  <c r="R237" i="1" s="1"/>
  <c r="S237" i="1" s="1"/>
  <c r="P237" i="1"/>
  <c r="O237" i="1"/>
  <c r="Q236" i="1"/>
  <c r="R236" i="1" s="1"/>
  <c r="S236" i="1" s="1"/>
  <c r="P236" i="1"/>
  <c r="O236" i="1"/>
  <c r="Q234" i="1"/>
  <c r="R234" i="1" s="1"/>
  <c r="S234" i="1" s="1"/>
  <c r="P234" i="1"/>
  <c r="O234" i="1"/>
  <c r="Q233" i="1"/>
  <c r="R233" i="1" s="1"/>
  <c r="S233" i="1" s="1"/>
  <c r="P233" i="1"/>
  <c r="O233" i="1"/>
  <c r="Q231" i="1"/>
  <c r="R231" i="1" s="1"/>
  <c r="S231" i="1" s="1"/>
  <c r="P231" i="1"/>
  <c r="O231" i="1"/>
  <c r="Q230" i="1"/>
  <c r="R230" i="1" s="1"/>
  <c r="S230" i="1" s="1"/>
  <c r="P230" i="1"/>
  <c r="O230" i="1"/>
  <c r="Q229" i="1"/>
  <c r="R229" i="1" s="1"/>
  <c r="S229" i="1" s="1"/>
  <c r="P229" i="1"/>
  <c r="O229" i="1"/>
  <c r="Q228" i="1"/>
  <c r="R228" i="1" s="1"/>
  <c r="S228" i="1" s="1"/>
  <c r="P228" i="1"/>
  <c r="O228" i="1"/>
  <c r="Q227" i="1"/>
  <c r="R227" i="1" s="1"/>
  <c r="S227" i="1" s="1"/>
  <c r="P227" i="1"/>
  <c r="O227" i="1"/>
  <c r="Q226" i="1"/>
  <c r="R226" i="1" s="1"/>
  <c r="S226" i="1" s="1"/>
  <c r="P226" i="1"/>
  <c r="O226" i="1"/>
  <c r="Q225" i="1"/>
  <c r="R225" i="1" s="1"/>
  <c r="S225" i="1" s="1"/>
  <c r="P225" i="1"/>
  <c r="O225" i="1"/>
  <c r="Q223" i="1"/>
  <c r="R223" i="1" s="1"/>
  <c r="S223" i="1" s="1"/>
  <c r="P223" i="1"/>
  <c r="O223" i="1"/>
  <c r="Q222" i="1"/>
  <c r="R222" i="1" s="1"/>
  <c r="S222" i="1" s="1"/>
  <c r="P222" i="1"/>
  <c r="O222" i="1"/>
  <c r="Q221" i="1"/>
  <c r="R221" i="1" s="1"/>
  <c r="S221" i="1" s="1"/>
  <c r="P221" i="1"/>
  <c r="O221" i="1"/>
  <c r="Q218" i="1"/>
  <c r="R218" i="1" s="1"/>
  <c r="S218" i="1" s="1"/>
  <c r="P218" i="1"/>
  <c r="O218" i="1"/>
  <c r="Q217" i="1"/>
  <c r="R217" i="1" s="1"/>
  <c r="S217" i="1" s="1"/>
  <c r="P217" i="1"/>
  <c r="O217" i="1"/>
  <c r="Q216" i="1"/>
  <c r="R216" i="1" s="1"/>
  <c r="S216" i="1" s="1"/>
  <c r="P216" i="1"/>
  <c r="O216" i="1"/>
  <c r="Q215" i="1"/>
  <c r="R215" i="1" s="1"/>
  <c r="S215" i="1" s="1"/>
  <c r="P215" i="1"/>
  <c r="O215" i="1"/>
  <c r="Q214" i="1"/>
  <c r="R214" i="1" s="1"/>
  <c r="S214" i="1" s="1"/>
  <c r="P214" i="1"/>
  <c r="O214" i="1"/>
  <c r="Q213" i="1"/>
  <c r="R213" i="1" s="1"/>
  <c r="S213" i="1" s="1"/>
  <c r="P213" i="1"/>
  <c r="O213" i="1"/>
  <c r="Q211" i="1"/>
  <c r="R211" i="1" s="1"/>
  <c r="S211" i="1" s="1"/>
  <c r="P211" i="1"/>
  <c r="O211" i="1"/>
  <c r="Q210" i="1"/>
  <c r="R210" i="1" s="1"/>
  <c r="S210" i="1" s="1"/>
  <c r="P210" i="1"/>
  <c r="O210" i="1"/>
  <c r="Q209" i="1"/>
  <c r="R209" i="1" s="1"/>
  <c r="S209" i="1" s="1"/>
  <c r="P209" i="1"/>
  <c r="O209" i="1"/>
  <c r="Q207" i="1"/>
  <c r="R207" i="1" s="1"/>
  <c r="S207" i="1" s="1"/>
  <c r="P207" i="1"/>
  <c r="O207" i="1"/>
  <c r="Q206" i="1"/>
  <c r="R206" i="1" s="1"/>
  <c r="S206" i="1" s="1"/>
  <c r="P206" i="1"/>
  <c r="O206" i="1"/>
  <c r="Q205" i="1"/>
  <c r="R205" i="1" s="1"/>
  <c r="S205" i="1" s="1"/>
  <c r="P205" i="1"/>
  <c r="O205" i="1"/>
  <c r="Q203" i="1"/>
  <c r="R203" i="1" s="1"/>
  <c r="S203" i="1" s="1"/>
  <c r="P203" i="1"/>
  <c r="O203" i="1"/>
  <c r="Q201" i="1"/>
  <c r="R201" i="1" s="1"/>
  <c r="S201" i="1" s="1"/>
  <c r="P201" i="1"/>
  <c r="O201" i="1"/>
  <c r="Q200" i="1"/>
  <c r="R200" i="1" s="1"/>
  <c r="S200" i="1" s="1"/>
  <c r="P200" i="1"/>
  <c r="O200" i="1"/>
  <c r="Q199" i="1"/>
  <c r="R199" i="1" s="1"/>
  <c r="S199" i="1" s="1"/>
  <c r="P199" i="1"/>
  <c r="O199" i="1"/>
  <c r="Q198" i="1"/>
  <c r="R198" i="1" s="1"/>
  <c r="S198" i="1" s="1"/>
  <c r="P198" i="1"/>
  <c r="O198" i="1"/>
  <c r="Q196" i="1"/>
  <c r="R196" i="1" s="1"/>
  <c r="S196" i="1" s="1"/>
  <c r="P196" i="1"/>
  <c r="O196" i="1"/>
  <c r="Q195" i="1"/>
  <c r="R195" i="1" s="1"/>
  <c r="S195" i="1" s="1"/>
  <c r="P195" i="1"/>
  <c r="O195" i="1"/>
  <c r="Q190" i="1"/>
  <c r="R190" i="1" s="1"/>
  <c r="S190" i="1" s="1"/>
  <c r="P190" i="1"/>
  <c r="O190" i="1"/>
  <c r="Q173" i="1"/>
  <c r="R173" i="1" s="1"/>
  <c r="S173" i="1" s="1"/>
  <c r="P173" i="1"/>
  <c r="O173" i="1"/>
  <c r="Q163" i="1"/>
  <c r="R163" i="1" s="1"/>
  <c r="S163" i="1" s="1"/>
  <c r="P163" i="1"/>
  <c r="O163" i="1"/>
  <c r="Q161" i="1"/>
  <c r="R161" i="1" s="1"/>
  <c r="S161" i="1" s="1"/>
  <c r="P161" i="1"/>
  <c r="O161" i="1"/>
  <c r="Q133" i="1"/>
  <c r="R133" i="1" s="1"/>
  <c r="S133" i="1" s="1"/>
  <c r="P133" i="1"/>
  <c r="O133" i="1"/>
  <c r="Q132" i="1"/>
  <c r="R132" i="1" s="1"/>
  <c r="S132" i="1" s="1"/>
  <c r="P132" i="1"/>
  <c r="O132" i="1"/>
  <c r="Q131" i="1"/>
  <c r="R131" i="1" s="1"/>
  <c r="S131" i="1" s="1"/>
  <c r="P131" i="1"/>
  <c r="O131" i="1"/>
  <c r="Q130" i="1"/>
  <c r="R130" i="1" s="1"/>
  <c r="S130" i="1" s="1"/>
  <c r="P130" i="1"/>
  <c r="O130" i="1"/>
  <c r="Q129" i="1"/>
  <c r="R129" i="1" s="1"/>
  <c r="S129" i="1" s="1"/>
  <c r="P129" i="1"/>
  <c r="O129" i="1"/>
  <c r="Q125" i="1"/>
  <c r="R125" i="1" s="1"/>
  <c r="S125" i="1" s="1"/>
  <c r="P125" i="1"/>
  <c r="O125" i="1"/>
  <c r="Q119" i="1"/>
  <c r="R119" i="1" s="1"/>
  <c r="S119" i="1" s="1"/>
  <c r="P119" i="1"/>
  <c r="O119" i="1"/>
  <c r="Q92" i="1"/>
  <c r="R92" i="1" s="1"/>
  <c r="S92" i="1" s="1"/>
  <c r="P92" i="1"/>
  <c r="O92" i="1"/>
  <c r="Q91" i="1"/>
  <c r="R91" i="1" s="1"/>
  <c r="S91" i="1" s="1"/>
  <c r="P91" i="1"/>
  <c r="O91" i="1"/>
  <c r="Q88" i="1"/>
  <c r="R88" i="1" s="1"/>
  <c r="S88" i="1" s="1"/>
  <c r="P88" i="1"/>
  <c r="O88" i="1"/>
  <c r="Q87" i="1"/>
  <c r="R87" i="1" s="1"/>
  <c r="S87" i="1" s="1"/>
  <c r="P87" i="1"/>
  <c r="O87" i="1"/>
  <c r="Q86" i="1"/>
  <c r="R86" i="1" s="1"/>
  <c r="S86" i="1" s="1"/>
  <c r="P86" i="1"/>
  <c r="O86" i="1"/>
  <c r="Q84" i="1"/>
  <c r="R84" i="1" s="1"/>
  <c r="S84" i="1" s="1"/>
  <c r="P84" i="1"/>
  <c r="O84" i="1"/>
  <c r="Q70" i="1"/>
  <c r="R70" i="1" s="1"/>
  <c r="S70" i="1" s="1"/>
  <c r="P70" i="1"/>
  <c r="O70" i="1"/>
  <c r="Q69" i="1"/>
  <c r="R69" i="1" s="1"/>
  <c r="S69" i="1" s="1"/>
  <c r="P69" i="1"/>
  <c r="O69" i="1"/>
  <c r="Q57" i="1"/>
  <c r="R57" i="1" s="1"/>
  <c r="S57" i="1" s="1"/>
  <c r="P57" i="1"/>
  <c r="O57" i="1"/>
  <c r="Q56" i="1"/>
  <c r="R56" i="1" s="1"/>
  <c r="S56" i="1" s="1"/>
  <c r="P56" i="1"/>
  <c r="O56" i="1"/>
  <c r="Q55" i="1"/>
  <c r="R55" i="1" s="1"/>
  <c r="S55" i="1" s="1"/>
  <c r="P55" i="1"/>
  <c r="O55" i="1"/>
  <c r="Q54" i="1"/>
  <c r="R54" i="1" s="1"/>
  <c r="S54" i="1" s="1"/>
  <c r="P54" i="1"/>
  <c r="O54" i="1"/>
  <c r="Q47" i="1"/>
  <c r="R47" i="1" s="1"/>
  <c r="S47" i="1" s="1"/>
  <c r="P47" i="1"/>
  <c r="O47" i="1"/>
  <c r="Q46" i="1"/>
  <c r="R46" i="1" s="1"/>
  <c r="S46" i="1" s="1"/>
  <c r="P46" i="1"/>
  <c r="O46" i="1"/>
  <c r="Q45" i="1"/>
  <c r="R45" i="1" s="1"/>
  <c r="S45" i="1" s="1"/>
  <c r="P45" i="1"/>
  <c r="O45" i="1"/>
  <c r="Q44" i="1"/>
  <c r="R44" i="1" s="1"/>
  <c r="S44" i="1" s="1"/>
  <c r="P44" i="1"/>
  <c r="O44" i="1"/>
  <c r="Q43" i="1"/>
  <c r="R43" i="1" s="1"/>
  <c r="S43" i="1" s="1"/>
  <c r="P43" i="1"/>
  <c r="O43" i="1"/>
  <c r="Q42" i="1"/>
  <c r="R42" i="1" s="1"/>
  <c r="S42" i="1" s="1"/>
  <c r="P42" i="1"/>
  <c r="O42" i="1"/>
  <c r="Q41" i="1"/>
  <c r="R41" i="1" s="1"/>
  <c r="S41" i="1" s="1"/>
  <c r="P41" i="1"/>
  <c r="O41" i="1"/>
  <c r="Q40" i="1"/>
  <c r="R40" i="1" s="1"/>
  <c r="S40" i="1" s="1"/>
  <c r="P40" i="1"/>
  <c r="O40" i="1"/>
  <c r="Q36" i="1"/>
  <c r="R36" i="1" s="1"/>
  <c r="S36" i="1" s="1"/>
  <c r="P36" i="1"/>
  <c r="O36" i="1"/>
  <c r="Q35" i="1"/>
  <c r="R35" i="1" s="1"/>
  <c r="S35" i="1" s="1"/>
  <c r="P35" i="1"/>
  <c r="O35" i="1"/>
  <c r="Q33" i="1"/>
  <c r="R33" i="1" s="1"/>
  <c r="S33" i="1" s="1"/>
  <c r="P33" i="1"/>
  <c r="O33" i="1"/>
  <c r="Q32" i="1"/>
  <c r="R32" i="1" s="1"/>
  <c r="S32" i="1" s="1"/>
  <c r="P32" i="1"/>
  <c r="O32" i="1"/>
  <c r="Q31" i="1"/>
  <c r="R31" i="1" s="1"/>
  <c r="S31" i="1" s="1"/>
  <c r="P31" i="1"/>
  <c r="O31" i="1"/>
  <c r="Q30" i="1"/>
  <c r="R30" i="1" s="1"/>
  <c r="S30" i="1" s="1"/>
  <c r="P30" i="1"/>
  <c r="O30" i="1"/>
  <c r="Q29" i="1"/>
  <c r="R29" i="1" s="1"/>
  <c r="S29" i="1" s="1"/>
  <c r="P29" i="1"/>
  <c r="O29" i="1"/>
  <c r="Q28" i="1"/>
  <c r="R28" i="1" s="1"/>
  <c r="S28" i="1" s="1"/>
  <c r="P28" i="1"/>
  <c r="O28" i="1"/>
  <c r="Q19" i="1"/>
  <c r="R19" i="1" s="1"/>
  <c r="S19" i="1" s="1"/>
  <c r="P19" i="1"/>
  <c r="O19" i="1"/>
  <c r="Q18" i="1"/>
  <c r="R18" i="1" s="1"/>
  <c r="S18" i="1" s="1"/>
  <c r="P18" i="1"/>
  <c r="O18" i="1"/>
  <c r="Q17" i="1"/>
  <c r="R17" i="1" s="1"/>
  <c r="S17" i="1" s="1"/>
  <c r="P17" i="1"/>
  <c r="O17" i="1"/>
  <c r="Q16" i="1"/>
  <c r="R16" i="1" s="1"/>
  <c r="S16" i="1" s="1"/>
  <c r="P16" i="1"/>
  <c r="O16" i="1"/>
  <c r="Q13" i="1"/>
  <c r="R13" i="1" s="1"/>
  <c r="S13" i="1" s="1"/>
  <c r="P13" i="1"/>
  <c r="O13" i="1"/>
  <c r="Q612" i="1"/>
  <c r="R612" i="1" s="1"/>
  <c r="S612" i="1" s="1"/>
  <c r="P612" i="1"/>
  <c r="O612" i="1"/>
  <c r="Q600" i="1"/>
  <c r="R600" i="1" s="1"/>
  <c r="S600" i="1" s="1"/>
  <c r="P600" i="1"/>
  <c r="O600" i="1"/>
  <c r="Q594" i="1"/>
  <c r="R594" i="1" s="1"/>
  <c r="S594" i="1" s="1"/>
  <c r="P594" i="1"/>
  <c r="O594" i="1"/>
  <c r="Q585" i="1"/>
  <c r="R585" i="1" s="1"/>
  <c r="S585" i="1" s="1"/>
  <c r="P585" i="1"/>
  <c r="O585" i="1"/>
  <c r="Q579" i="1"/>
  <c r="R579" i="1" s="1"/>
  <c r="S579" i="1" s="1"/>
  <c r="P579" i="1"/>
  <c r="O579" i="1"/>
  <c r="Q578" i="1"/>
  <c r="R578" i="1" s="1"/>
  <c r="S578" i="1" s="1"/>
  <c r="P578" i="1"/>
  <c r="O578" i="1"/>
  <c r="Q568" i="1"/>
  <c r="R568" i="1" s="1"/>
  <c r="S568" i="1" s="1"/>
  <c r="P568" i="1"/>
  <c r="O568" i="1"/>
  <c r="Q565" i="1"/>
  <c r="R565" i="1" s="1"/>
  <c r="S565" i="1" s="1"/>
  <c r="P565" i="1"/>
  <c r="O565" i="1"/>
  <c r="Q564" i="1"/>
  <c r="R564" i="1" s="1"/>
  <c r="S564" i="1" s="1"/>
  <c r="P564" i="1"/>
  <c r="O564" i="1"/>
  <c r="Q552" i="1"/>
  <c r="R552" i="1" s="1"/>
  <c r="S552" i="1" s="1"/>
  <c r="P552" i="1"/>
  <c r="O552" i="1"/>
  <c r="Q550" i="1"/>
  <c r="R550" i="1" s="1"/>
  <c r="S550" i="1" s="1"/>
  <c r="P550" i="1"/>
  <c r="O550" i="1"/>
  <c r="Q548" i="1"/>
  <c r="R548" i="1" s="1"/>
  <c r="S548" i="1" s="1"/>
  <c r="P548" i="1"/>
  <c r="O548" i="1"/>
  <c r="Q516" i="1"/>
  <c r="R516" i="1" s="1"/>
  <c r="S516" i="1" s="1"/>
  <c r="P516" i="1"/>
  <c r="O516" i="1"/>
  <c r="Q515" i="1"/>
  <c r="R515" i="1" s="1"/>
  <c r="S515" i="1" s="1"/>
  <c r="P515" i="1"/>
  <c r="O515" i="1"/>
  <c r="Q513" i="1"/>
  <c r="R513" i="1" s="1"/>
  <c r="S513" i="1" s="1"/>
  <c r="P513" i="1"/>
  <c r="O513" i="1"/>
  <c r="Q512" i="1"/>
  <c r="R512" i="1" s="1"/>
  <c r="S512" i="1" s="1"/>
  <c r="P512" i="1"/>
  <c r="O512" i="1"/>
  <c r="Q511" i="1"/>
  <c r="R511" i="1" s="1"/>
  <c r="S511" i="1" s="1"/>
  <c r="P511" i="1"/>
  <c r="O511" i="1"/>
  <c r="Q509" i="1"/>
  <c r="R509" i="1" s="1"/>
  <c r="S509" i="1" s="1"/>
  <c r="P509" i="1"/>
  <c r="O509" i="1"/>
  <c r="Q507" i="1"/>
  <c r="R507" i="1" s="1"/>
  <c r="S507" i="1" s="1"/>
  <c r="P507" i="1"/>
  <c r="O507" i="1"/>
  <c r="Q506" i="1"/>
  <c r="R506" i="1" s="1"/>
  <c r="S506" i="1" s="1"/>
  <c r="P506" i="1"/>
  <c r="O506" i="1"/>
  <c r="Q505" i="1"/>
  <c r="R505" i="1" s="1"/>
  <c r="S505" i="1" s="1"/>
  <c r="P505" i="1"/>
  <c r="O505" i="1"/>
  <c r="Q485" i="1"/>
  <c r="R485" i="1" s="1"/>
  <c r="S485" i="1" s="1"/>
  <c r="P485" i="1"/>
  <c r="O485" i="1"/>
  <c r="Q483" i="1"/>
  <c r="R483" i="1" s="1"/>
  <c r="S483" i="1" s="1"/>
  <c r="P483" i="1"/>
  <c r="O483" i="1"/>
  <c r="Q481" i="1"/>
  <c r="R481" i="1" s="1"/>
  <c r="S481" i="1" s="1"/>
  <c r="P481" i="1"/>
  <c r="O481" i="1"/>
  <c r="Q480" i="1"/>
  <c r="R480" i="1" s="1"/>
  <c r="S480" i="1" s="1"/>
  <c r="P480" i="1"/>
  <c r="O480" i="1"/>
  <c r="Q474" i="1"/>
  <c r="R474" i="1" s="1"/>
  <c r="S474" i="1" s="1"/>
  <c r="P474" i="1"/>
  <c r="O474" i="1"/>
  <c r="Q473" i="1"/>
  <c r="R473" i="1" s="1"/>
  <c r="S473" i="1" s="1"/>
  <c r="P473" i="1"/>
  <c r="O473" i="1"/>
  <c r="Q438" i="1"/>
  <c r="R438" i="1" s="1"/>
  <c r="S438" i="1" s="1"/>
  <c r="P438" i="1"/>
  <c r="O438" i="1"/>
  <c r="Q436" i="1"/>
  <c r="R436" i="1" s="1"/>
  <c r="S436" i="1" s="1"/>
  <c r="P436" i="1"/>
  <c r="O436" i="1"/>
  <c r="Q429" i="1"/>
  <c r="R429" i="1" s="1"/>
  <c r="S429" i="1" s="1"/>
  <c r="P429" i="1"/>
  <c r="O429" i="1"/>
  <c r="Q428" i="1"/>
  <c r="R428" i="1" s="1"/>
  <c r="S428" i="1" s="1"/>
  <c r="P428" i="1"/>
  <c r="O428" i="1"/>
  <c r="Q427" i="1"/>
  <c r="R427" i="1" s="1"/>
  <c r="S427" i="1" s="1"/>
  <c r="P427" i="1"/>
  <c r="O427" i="1"/>
  <c r="Q423" i="1"/>
  <c r="R423" i="1" s="1"/>
  <c r="S423" i="1" s="1"/>
  <c r="P423" i="1"/>
  <c r="O423" i="1"/>
  <c r="Q407" i="1"/>
  <c r="R407" i="1" s="1"/>
  <c r="S407" i="1" s="1"/>
  <c r="P407" i="1"/>
  <c r="O407" i="1"/>
  <c r="Q406" i="1"/>
  <c r="R406" i="1" s="1"/>
  <c r="S406" i="1" s="1"/>
  <c r="P406" i="1"/>
  <c r="O406" i="1"/>
  <c r="Q405" i="1"/>
  <c r="R405" i="1" s="1"/>
  <c r="S405" i="1" s="1"/>
  <c r="P405" i="1"/>
  <c r="O405" i="1"/>
  <c r="Q400" i="1"/>
  <c r="R400" i="1" s="1"/>
  <c r="S400" i="1" s="1"/>
  <c r="P400" i="1"/>
  <c r="O400" i="1"/>
  <c r="Q395" i="1"/>
  <c r="R395" i="1" s="1"/>
  <c r="S395" i="1" s="1"/>
  <c r="P395" i="1"/>
  <c r="O395" i="1"/>
  <c r="Q377" i="1"/>
  <c r="R377" i="1" s="1"/>
  <c r="S377" i="1" s="1"/>
  <c r="P377" i="1"/>
  <c r="O377" i="1"/>
  <c r="Q376" i="1"/>
  <c r="R376" i="1" s="1"/>
  <c r="S376" i="1" s="1"/>
  <c r="P376" i="1"/>
  <c r="O376" i="1"/>
  <c r="Q358" i="1"/>
  <c r="R358" i="1" s="1"/>
  <c r="S358" i="1" s="1"/>
  <c r="P358" i="1"/>
  <c r="O358" i="1"/>
  <c r="Q351" i="1"/>
  <c r="R351" i="1" s="1"/>
  <c r="S351" i="1" s="1"/>
  <c r="P351" i="1"/>
  <c r="O351" i="1"/>
  <c r="Q350" i="1"/>
  <c r="R350" i="1" s="1"/>
  <c r="S350" i="1" s="1"/>
  <c r="P350" i="1"/>
  <c r="O350" i="1"/>
  <c r="Q349" i="1"/>
  <c r="R349" i="1" s="1"/>
  <c r="S349" i="1" s="1"/>
  <c r="P349" i="1"/>
  <c r="O349" i="1"/>
  <c r="Q345" i="1"/>
  <c r="R345" i="1" s="1"/>
  <c r="S345" i="1" s="1"/>
  <c r="P345" i="1"/>
  <c r="O345" i="1"/>
  <c r="Q335" i="1"/>
  <c r="R335" i="1" s="1"/>
  <c r="S335" i="1" s="1"/>
  <c r="P335" i="1"/>
  <c r="O335" i="1"/>
  <c r="Q334" i="1"/>
  <c r="R334" i="1" s="1"/>
  <c r="S334" i="1" s="1"/>
  <c r="P334" i="1"/>
  <c r="O334" i="1"/>
  <c r="Q333" i="1"/>
  <c r="R333" i="1" s="1"/>
  <c r="S333" i="1" s="1"/>
  <c r="P333" i="1"/>
  <c r="O333" i="1"/>
  <c r="Q322" i="1"/>
  <c r="R322" i="1" s="1"/>
  <c r="S322" i="1" s="1"/>
  <c r="P322" i="1"/>
  <c r="O322" i="1"/>
  <c r="Q321" i="1"/>
  <c r="R321" i="1" s="1"/>
  <c r="S321" i="1" s="1"/>
  <c r="P321" i="1"/>
  <c r="O321" i="1"/>
  <c r="Q318" i="1"/>
  <c r="R318" i="1" s="1"/>
  <c r="S318" i="1" s="1"/>
  <c r="P318" i="1"/>
  <c r="O318" i="1"/>
  <c r="Q317" i="1"/>
  <c r="R317" i="1" s="1"/>
  <c r="S317" i="1" s="1"/>
  <c r="P317" i="1"/>
  <c r="O317" i="1"/>
  <c r="Q308" i="1"/>
  <c r="R308" i="1" s="1"/>
  <c r="S308" i="1" s="1"/>
  <c r="P308" i="1"/>
  <c r="O308" i="1"/>
  <c r="Q307" i="1"/>
  <c r="R307" i="1" s="1"/>
  <c r="S307" i="1" s="1"/>
  <c r="P307" i="1"/>
  <c r="O307" i="1"/>
  <c r="Q285" i="1"/>
  <c r="R285" i="1" s="1"/>
  <c r="S285" i="1" s="1"/>
  <c r="P285" i="1"/>
  <c r="O285" i="1"/>
  <c r="Q284" i="1"/>
  <c r="R284" i="1" s="1"/>
  <c r="S284" i="1" s="1"/>
  <c r="P284" i="1"/>
  <c r="O284" i="1"/>
  <c r="Q283" i="1"/>
  <c r="R283" i="1" s="1"/>
  <c r="S283" i="1" s="1"/>
  <c r="P283" i="1"/>
  <c r="O283" i="1"/>
  <c r="Q282" i="1"/>
  <c r="R282" i="1" s="1"/>
  <c r="S282" i="1" s="1"/>
  <c r="P282" i="1"/>
  <c r="O282" i="1"/>
  <c r="Q281" i="1"/>
  <c r="R281" i="1" s="1"/>
  <c r="S281" i="1" s="1"/>
  <c r="P281" i="1"/>
  <c r="O281" i="1"/>
  <c r="Q280" i="1"/>
  <c r="R280" i="1" s="1"/>
  <c r="S280" i="1" s="1"/>
  <c r="P280" i="1"/>
  <c r="O280" i="1"/>
  <c r="Q279" i="1"/>
  <c r="R279" i="1" s="1"/>
  <c r="S279" i="1" s="1"/>
  <c r="P279" i="1"/>
  <c r="O279" i="1"/>
  <c r="Q278" i="1"/>
  <c r="R278" i="1" s="1"/>
  <c r="S278" i="1" s="1"/>
  <c r="P278" i="1"/>
  <c r="O278" i="1"/>
  <c r="Q277" i="1"/>
  <c r="R277" i="1" s="1"/>
  <c r="S277" i="1" s="1"/>
  <c r="P277" i="1"/>
  <c r="O277" i="1"/>
  <c r="Q276" i="1"/>
  <c r="R276" i="1" s="1"/>
  <c r="S276" i="1" s="1"/>
  <c r="P276" i="1"/>
  <c r="O276" i="1"/>
  <c r="Q275" i="1"/>
  <c r="R275" i="1" s="1"/>
  <c r="S275" i="1" s="1"/>
  <c r="P275" i="1"/>
  <c r="O275" i="1"/>
  <c r="Q274" i="1"/>
  <c r="R274" i="1" s="1"/>
  <c r="S274" i="1" s="1"/>
  <c r="P274" i="1"/>
  <c r="O274" i="1"/>
  <c r="Q273" i="1"/>
  <c r="R273" i="1" s="1"/>
  <c r="S273" i="1" s="1"/>
  <c r="P273" i="1"/>
  <c r="O273" i="1"/>
  <c r="Q272" i="1"/>
  <c r="R272" i="1" s="1"/>
  <c r="S272" i="1" s="1"/>
  <c r="P272" i="1"/>
  <c r="O272" i="1"/>
  <c r="Q271" i="1"/>
  <c r="R271" i="1" s="1"/>
  <c r="S271" i="1" s="1"/>
  <c r="P271" i="1"/>
  <c r="O271" i="1"/>
  <c r="Q270" i="1"/>
  <c r="R270" i="1" s="1"/>
  <c r="S270" i="1" s="1"/>
  <c r="P270" i="1"/>
  <c r="O270" i="1"/>
  <c r="Q262" i="1"/>
  <c r="R262" i="1" s="1"/>
  <c r="S262" i="1" s="1"/>
  <c r="P262" i="1"/>
  <c r="O262" i="1"/>
  <c r="Q224" i="1"/>
  <c r="R224" i="1" s="1"/>
  <c r="S224" i="1" s="1"/>
  <c r="P224" i="1"/>
  <c r="O224" i="1"/>
  <c r="Q189" i="1"/>
  <c r="R189" i="1" s="1"/>
  <c r="S189" i="1" s="1"/>
  <c r="P189" i="1"/>
  <c r="O189" i="1"/>
  <c r="Q187" i="1"/>
  <c r="R187" i="1" s="1"/>
  <c r="S187" i="1" s="1"/>
  <c r="P187" i="1"/>
  <c r="O187" i="1"/>
  <c r="Q186" i="1"/>
  <c r="R186" i="1" s="1"/>
  <c r="S186" i="1" s="1"/>
  <c r="P186" i="1"/>
  <c r="O186" i="1"/>
  <c r="Q183" i="1"/>
  <c r="R183" i="1" s="1"/>
  <c r="S183" i="1" s="1"/>
  <c r="P183" i="1"/>
  <c r="O183" i="1"/>
  <c r="Q182" i="1"/>
  <c r="R182" i="1" s="1"/>
  <c r="S182" i="1" s="1"/>
  <c r="P182" i="1"/>
  <c r="O182" i="1"/>
  <c r="Q181" i="1"/>
  <c r="R181" i="1" s="1"/>
  <c r="S181" i="1" s="1"/>
  <c r="P181" i="1"/>
  <c r="O181" i="1"/>
  <c r="Q179" i="1"/>
  <c r="R179" i="1" s="1"/>
  <c r="S179" i="1" s="1"/>
  <c r="P179" i="1"/>
  <c r="O179" i="1"/>
  <c r="Q178" i="1"/>
  <c r="R178" i="1" s="1"/>
  <c r="S178" i="1" s="1"/>
  <c r="P178" i="1"/>
  <c r="O178" i="1"/>
  <c r="Q169" i="1"/>
  <c r="R169" i="1" s="1"/>
  <c r="S169" i="1" s="1"/>
  <c r="P169" i="1"/>
  <c r="O169" i="1"/>
  <c r="Q168" i="1"/>
  <c r="R168" i="1" s="1"/>
  <c r="S168" i="1" s="1"/>
  <c r="P168" i="1"/>
  <c r="O168" i="1"/>
  <c r="Q162" i="1"/>
  <c r="R162" i="1" s="1"/>
  <c r="S162" i="1" s="1"/>
  <c r="P162" i="1"/>
  <c r="O162" i="1"/>
  <c r="Q145" i="1"/>
  <c r="R145" i="1" s="1"/>
  <c r="S145" i="1" s="1"/>
  <c r="P145" i="1"/>
  <c r="O145" i="1"/>
  <c r="Q139" i="1"/>
  <c r="R139" i="1" s="1"/>
  <c r="S139" i="1" s="1"/>
  <c r="P139" i="1"/>
  <c r="O139" i="1"/>
  <c r="Q135" i="1"/>
  <c r="R135" i="1" s="1"/>
  <c r="S135" i="1" s="1"/>
  <c r="P135" i="1"/>
  <c r="O135" i="1"/>
  <c r="Q110" i="1"/>
  <c r="R110" i="1" s="1"/>
  <c r="S110" i="1" s="1"/>
  <c r="P110" i="1"/>
  <c r="O110" i="1"/>
  <c r="Q107" i="1"/>
  <c r="R107" i="1" s="1"/>
  <c r="S107" i="1" s="1"/>
  <c r="P107" i="1"/>
  <c r="O107" i="1"/>
  <c r="Q106" i="1"/>
  <c r="R106" i="1" s="1"/>
  <c r="S106" i="1" s="1"/>
  <c r="P106" i="1"/>
  <c r="O106" i="1"/>
  <c r="Q104" i="1"/>
  <c r="R104" i="1" s="1"/>
  <c r="S104" i="1" s="1"/>
  <c r="P104" i="1"/>
  <c r="O104" i="1"/>
  <c r="Q99" i="1"/>
  <c r="R99" i="1" s="1"/>
  <c r="S99" i="1" s="1"/>
  <c r="P99" i="1"/>
  <c r="O99" i="1"/>
  <c r="Q96" i="1"/>
  <c r="R96" i="1" s="1"/>
  <c r="S96" i="1" s="1"/>
  <c r="P96" i="1"/>
  <c r="O96" i="1"/>
  <c r="Q94" i="1"/>
  <c r="R94" i="1" s="1"/>
  <c r="S94" i="1" s="1"/>
  <c r="P94" i="1"/>
  <c r="O94" i="1"/>
  <c r="Q79" i="1"/>
  <c r="R79" i="1" s="1"/>
  <c r="S79" i="1" s="1"/>
  <c r="P79" i="1"/>
  <c r="O79" i="1"/>
  <c r="Q77" i="1"/>
  <c r="R77" i="1" s="1"/>
  <c r="S77" i="1" s="1"/>
  <c r="P77" i="1"/>
  <c r="O77" i="1"/>
  <c r="Q65" i="1"/>
  <c r="R65" i="1" s="1"/>
  <c r="S65" i="1" s="1"/>
  <c r="P65" i="1"/>
  <c r="O65" i="1"/>
  <c r="Q49" i="1"/>
  <c r="R49" i="1" s="1"/>
  <c r="S49" i="1" s="1"/>
  <c r="P49" i="1"/>
  <c r="O49" i="1"/>
  <c r="Q48" i="1"/>
  <c r="R48" i="1" s="1"/>
  <c r="S48" i="1" s="1"/>
  <c r="P48" i="1"/>
  <c r="O48" i="1"/>
  <c r="Q34" i="1"/>
  <c r="R34" i="1" s="1"/>
  <c r="S34" i="1" s="1"/>
  <c r="P34" i="1"/>
  <c r="O34" i="1"/>
  <c r="Q21" i="1"/>
  <c r="R21" i="1" s="1"/>
  <c r="S21" i="1" s="1"/>
  <c r="P21" i="1"/>
  <c r="O21" i="1"/>
  <c r="Q15" i="1"/>
  <c r="R15" i="1" s="1"/>
  <c r="S15" i="1" s="1"/>
  <c r="P15" i="1"/>
  <c r="O15" i="1"/>
  <c r="Q14" i="1"/>
  <c r="R14" i="1" s="1"/>
  <c r="S14" i="1" s="1"/>
  <c r="P14" i="1"/>
  <c r="O14" i="1"/>
  <c r="Q4" i="1"/>
  <c r="R4" i="1" s="1"/>
  <c r="S4" i="1" s="1"/>
  <c r="P4" i="1"/>
  <c r="O4" i="1"/>
  <c r="Q3" i="1"/>
  <c r="R3" i="1" s="1"/>
  <c r="S3" i="1" s="1"/>
  <c r="P3" i="1"/>
  <c r="O3" i="1"/>
  <c r="Q2" i="1"/>
  <c r="R2" i="1" s="1"/>
  <c r="S2" i="1" s="1"/>
  <c r="P2" i="1"/>
  <c r="O2" i="1"/>
  <c r="Q588" i="1"/>
  <c r="R588" i="1" s="1"/>
  <c r="P588" i="1"/>
  <c r="O588" i="1"/>
  <c r="Q556" i="1"/>
  <c r="P556" i="1"/>
  <c r="O556" i="1"/>
  <c r="Q554" i="1"/>
  <c r="P554" i="1"/>
  <c r="O554" i="1"/>
  <c r="Q547" i="1"/>
  <c r="P547" i="1"/>
  <c r="O547" i="1"/>
  <c r="Q431" i="1"/>
  <c r="P431" i="1"/>
  <c r="O431" i="1"/>
  <c r="Q430" i="1"/>
  <c r="P430" i="1"/>
  <c r="O430" i="1"/>
  <c r="Q404" i="1"/>
  <c r="P404" i="1"/>
  <c r="O404" i="1"/>
  <c r="Q398" i="1"/>
  <c r="P398" i="1"/>
  <c r="O398" i="1"/>
  <c r="Q393" i="1"/>
  <c r="P393" i="1"/>
  <c r="O393" i="1"/>
  <c r="Q392" i="1"/>
  <c r="P392" i="1"/>
  <c r="O392" i="1"/>
  <c r="Q149" i="1"/>
  <c r="P149" i="1"/>
  <c r="O149" i="1"/>
  <c r="Q124" i="1"/>
  <c r="P124" i="1"/>
  <c r="O124" i="1"/>
  <c r="Q117" i="1"/>
  <c r="P117" i="1"/>
  <c r="O117" i="1"/>
  <c r="Q116" i="1"/>
  <c r="P116" i="1"/>
  <c r="O116" i="1"/>
  <c r="Q112" i="1"/>
  <c r="P112" i="1"/>
  <c r="O112" i="1"/>
  <c r="Q100" i="1"/>
  <c r="P100" i="1"/>
  <c r="O100" i="1"/>
  <c r="Q76" i="1"/>
  <c r="P76" i="1"/>
  <c r="O76" i="1"/>
  <c r="Q67" i="1"/>
  <c r="P67" i="1"/>
  <c r="O67" i="1"/>
  <c r="Q66" i="1"/>
  <c r="P66" i="1"/>
  <c r="O66" i="1"/>
  <c r="Q61" i="1"/>
  <c r="P61" i="1"/>
  <c r="O61" i="1"/>
  <c r="Q60" i="1"/>
  <c r="P60" i="1"/>
  <c r="O60" i="1"/>
  <c r="Q53" i="1"/>
  <c r="P53" i="1"/>
  <c r="O53" i="1"/>
  <c r="Q24" i="1"/>
  <c r="P24" i="1"/>
  <c r="O24" i="1"/>
  <c r="Q12" i="1"/>
  <c r="P12" i="1"/>
  <c r="O12" i="1"/>
  <c r="Q606" i="1"/>
  <c r="P606" i="1"/>
  <c r="O606" i="1"/>
  <c r="Q605" i="1"/>
  <c r="P605" i="1"/>
  <c r="O605" i="1"/>
  <c r="Q604" i="1"/>
  <c r="P604" i="1"/>
  <c r="O604" i="1"/>
  <c r="Q593" i="1"/>
  <c r="P593" i="1"/>
  <c r="O593" i="1"/>
  <c r="Q592" i="1"/>
  <c r="P592" i="1"/>
  <c r="O592" i="1"/>
  <c r="Q591" i="1"/>
  <c r="P591" i="1"/>
  <c r="O591" i="1"/>
  <c r="Q590" i="1"/>
  <c r="P590" i="1"/>
  <c r="O590" i="1"/>
  <c r="Q567" i="1"/>
  <c r="P567" i="1"/>
  <c r="O567" i="1"/>
  <c r="Q562" i="1"/>
  <c r="P562" i="1"/>
  <c r="O562" i="1"/>
  <c r="Q510" i="1"/>
  <c r="P510" i="1"/>
  <c r="O510" i="1"/>
  <c r="Q403" i="1"/>
  <c r="P403" i="1"/>
  <c r="O403" i="1"/>
  <c r="Q382" i="1"/>
  <c r="P382" i="1"/>
  <c r="O382" i="1"/>
  <c r="Q381" i="1"/>
  <c r="P381" i="1"/>
  <c r="O381" i="1"/>
  <c r="Q380" i="1"/>
  <c r="P380" i="1"/>
  <c r="O380" i="1"/>
  <c r="Q331" i="1"/>
  <c r="P331" i="1"/>
  <c r="O331" i="1"/>
  <c r="Q319" i="1"/>
  <c r="P319" i="1"/>
  <c r="O319" i="1"/>
  <c r="Q269" i="1"/>
  <c r="P269" i="1"/>
  <c r="O269" i="1"/>
  <c r="Q268" i="1"/>
  <c r="P268" i="1"/>
  <c r="O268" i="1"/>
  <c r="Q267" i="1"/>
  <c r="P267" i="1"/>
  <c r="O267" i="1"/>
  <c r="Q266" i="1"/>
  <c r="P266" i="1"/>
  <c r="O266" i="1"/>
  <c r="Q265" i="1"/>
  <c r="P265" i="1"/>
  <c r="O265" i="1"/>
  <c r="Q264" i="1"/>
  <c r="P264" i="1"/>
  <c r="O264" i="1"/>
  <c r="Q263" i="1"/>
  <c r="P263" i="1"/>
  <c r="O263" i="1"/>
  <c r="Q261" i="1"/>
  <c r="P261" i="1"/>
  <c r="O261" i="1"/>
  <c r="Q260" i="1"/>
  <c r="P260" i="1"/>
  <c r="O260" i="1"/>
  <c r="Q188" i="1"/>
  <c r="P188" i="1"/>
  <c r="O188" i="1"/>
  <c r="Q185" i="1"/>
  <c r="P185" i="1"/>
  <c r="O185" i="1"/>
  <c r="Q184" i="1"/>
  <c r="P184" i="1"/>
  <c r="O184" i="1"/>
  <c r="Q180" i="1"/>
  <c r="P180" i="1"/>
  <c r="O180" i="1"/>
  <c r="Q164" i="1"/>
  <c r="P164" i="1"/>
  <c r="O164" i="1"/>
  <c r="Q156" i="1"/>
  <c r="P156" i="1"/>
  <c r="O156" i="1"/>
  <c r="Q152" i="1"/>
  <c r="P152" i="1"/>
  <c r="O152" i="1"/>
  <c r="Q151" i="1"/>
  <c r="P151" i="1"/>
  <c r="O151" i="1"/>
  <c r="Q138" i="1"/>
  <c r="P138" i="1"/>
  <c r="O138" i="1"/>
  <c r="Q121" i="1"/>
  <c r="P121" i="1"/>
  <c r="O121" i="1"/>
  <c r="Q113" i="1"/>
  <c r="P113" i="1"/>
  <c r="O113" i="1"/>
  <c r="Q111" i="1"/>
  <c r="P111" i="1"/>
  <c r="O111" i="1"/>
  <c r="Q109" i="1"/>
  <c r="P109" i="1"/>
  <c r="O109" i="1"/>
  <c r="Q108" i="1"/>
  <c r="P108" i="1"/>
  <c r="O108" i="1"/>
  <c r="Q105" i="1"/>
  <c r="P105" i="1"/>
  <c r="O105" i="1"/>
  <c r="Q103" i="1"/>
  <c r="P103" i="1"/>
  <c r="O103" i="1"/>
  <c r="Q102" i="1"/>
  <c r="P102" i="1"/>
  <c r="O102" i="1"/>
  <c r="Q98" i="1"/>
  <c r="P98" i="1"/>
  <c r="O98" i="1"/>
  <c r="Q97" i="1"/>
  <c r="P97" i="1"/>
  <c r="O97" i="1"/>
  <c r="Q95" i="1"/>
  <c r="P95" i="1"/>
  <c r="O95" i="1"/>
  <c r="Q93" i="1"/>
  <c r="P93" i="1"/>
  <c r="O93" i="1"/>
  <c r="Q90" i="1"/>
  <c r="P90" i="1"/>
  <c r="O90" i="1"/>
  <c r="Q89" i="1"/>
  <c r="P89" i="1"/>
  <c r="O89" i="1"/>
  <c r="Q82" i="1"/>
  <c r="P82" i="1"/>
  <c r="O82" i="1"/>
  <c r="Q81" i="1"/>
  <c r="P81" i="1"/>
  <c r="O81" i="1"/>
  <c r="Q80" i="1"/>
  <c r="P80" i="1"/>
  <c r="O80" i="1"/>
  <c r="Q74" i="1"/>
  <c r="P74" i="1"/>
  <c r="O74" i="1"/>
  <c r="Q63" i="1"/>
  <c r="P63" i="1"/>
  <c r="O63" i="1"/>
  <c r="Q62" i="1"/>
  <c r="P62" i="1"/>
  <c r="O62" i="1"/>
  <c r="Q22" i="1"/>
  <c r="P22" i="1"/>
  <c r="O22" i="1"/>
  <c r="Q589" i="1"/>
  <c r="P589" i="1"/>
  <c r="O589" i="1"/>
  <c r="Q587" i="1"/>
  <c r="P587" i="1"/>
  <c r="O587" i="1"/>
  <c r="Q394" i="1"/>
  <c r="P394" i="1"/>
  <c r="O394" i="1"/>
  <c r="Q359" i="1"/>
  <c r="P359" i="1"/>
  <c r="O359" i="1"/>
  <c r="Q330" i="1"/>
  <c r="P330" i="1"/>
  <c r="O330" i="1"/>
  <c r="Q329" i="1"/>
  <c r="P329" i="1"/>
  <c r="O329" i="1"/>
  <c r="Q306" i="1"/>
  <c r="P306" i="1"/>
  <c r="O306" i="1"/>
  <c r="Q305" i="1"/>
  <c r="P305" i="1"/>
  <c r="O305" i="1"/>
  <c r="Q304" i="1"/>
  <c r="P304" i="1"/>
  <c r="O304" i="1"/>
  <c r="Q303" i="1"/>
  <c r="P303" i="1"/>
  <c r="O303" i="1"/>
  <c r="Q302" i="1"/>
  <c r="P302" i="1"/>
  <c r="O302" i="1"/>
  <c r="Q301" i="1"/>
  <c r="P301" i="1"/>
  <c r="O301" i="1"/>
  <c r="Q300" i="1"/>
  <c r="P300" i="1"/>
  <c r="O300" i="1"/>
  <c r="Q299" i="1"/>
  <c r="P299" i="1"/>
  <c r="O299" i="1"/>
  <c r="Q298" i="1"/>
  <c r="P298" i="1"/>
  <c r="O298" i="1"/>
  <c r="Q297" i="1"/>
  <c r="P297" i="1"/>
  <c r="O297" i="1"/>
  <c r="Q296" i="1"/>
  <c r="P296" i="1"/>
  <c r="O296" i="1"/>
  <c r="Q295" i="1"/>
  <c r="P295" i="1"/>
  <c r="O295" i="1"/>
  <c r="Q294" i="1"/>
  <c r="P294" i="1"/>
  <c r="O294" i="1"/>
  <c r="Q293" i="1"/>
  <c r="P293" i="1"/>
  <c r="O293" i="1"/>
  <c r="Q292" i="1"/>
  <c r="P292" i="1"/>
  <c r="O292" i="1"/>
  <c r="Q291" i="1"/>
  <c r="P291" i="1"/>
  <c r="O291" i="1"/>
  <c r="Q290" i="1"/>
  <c r="P290" i="1"/>
  <c r="O290" i="1"/>
  <c r="Q289" i="1"/>
  <c r="P289" i="1"/>
  <c r="O289" i="1"/>
  <c r="Q288" i="1"/>
  <c r="P288" i="1"/>
  <c r="O288" i="1"/>
  <c r="Q287" i="1"/>
  <c r="P287" i="1"/>
  <c r="O287" i="1"/>
  <c r="Q286" i="1"/>
  <c r="P286" i="1"/>
  <c r="O286" i="1"/>
  <c r="Q170" i="1"/>
  <c r="P170" i="1"/>
  <c r="O170" i="1"/>
  <c r="Q141" i="1"/>
  <c r="P141" i="1"/>
  <c r="O141" i="1"/>
  <c r="Q140" i="1"/>
  <c r="P140" i="1"/>
  <c r="O140" i="1"/>
  <c r="Q134" i="1"/>
  <c r="P134" i="1"/>
  <c r="O134" i="1"/>
  <c r="Q123" i="1"/>
  <c r="P123" i="1"/>
  <c r="O123" i="1"/>
  <c r="Q122" i="1"/>
  <c r="P122" i="1"/>
  <c r="O122" i="1"/>
  <c r="Q115" i="1"/>
  <c r="P115" i="1"/>
  <c r="O115" i="1"/>
  <c r="Q114" i="1"/>
  <c r="P114" i="1"/>
  <c r="O114" i="1"/>
  <c r="Q101" i="1"/>
  <c r="P101" i="1"/>
  <c r="O101" i="1"/>
  <c r="Q75" i="1"/>
  <c r="P75" i="1"/>
  <c r="O75" i="1"/>
  <c r="Q23" i="1"/>
  <c r="P23" i="1"/>
  <c r="O23" i="1"/>
  <c r="R325" i="1" l="1"/>
  <c r="R171" i="1"/>
  <c r="S171" i="1" s="1"/>
  <c r="R324" i="1"/>
  <c r="S324" i="1" s="1"/>
  <c r="R7" i="1"/>
  <c r="R212" i="1"/>
  <c r="R208" i="1"/>
  <c r="S208" i="1" s="1"/>
  <c r="R323" i="1"/>
  <c r="R20" i="1"/>
  <c r="R336" i="1"/>
  <c r="R167" i="1"/>
  <c r="R191" i="1"/>
  <c r="S191" i="1" s="1"/>
  <c r="R192" i="1"/>
  <c r="S414" i="1"/>
  <c r="R416" i="1"/>
  <c r="S416" i="1" s="1"/>
  <c r="R23" i="1"/>
  <c r="S23" i="1" s="1"/>
  <c r="R101" i="1"/>
  <c r="S101" i="1" s="1"/>
  <c r="R123" i="1"/>
  <c r="S123" i="1" s="1"/>
  <c r="R170" i="1"/>
  <c r="S170" i="1" s="1"/>
  <c r="R287" i="1"/>
  <c r="S287" i="1" s="1"/>
  <c r="R291" i="1"/>
  <c r="S291" i="1" s="1"/>
  <c r="R293" i="1"/>
  <c r="S293" i="1" s="1"/>
  <c r="R301" i="1"/>
  <c r="S301" i="1" s="1"/>
  <c r="R303" i="1"/>
  <c r="S303" i="1" s="1"/>
  <c r="R305" i="1"/>
  <c r="S305" i="1" s="1"/>
  <c r="R22" i="1"/>
  <c r="S22" i="1" s="1"/>
  <c r="R63" i="1"/>
  <c r="S63" i="1" s="1"/>
  <c r="R82" i="1"/>
  <c r="S82" i="1" s="1"/>
  <c r="R90" i="1"/>
  <c r="S90" i="1" s="1"/>
  <c r="R108" i="1"/>
  <c r="S108" i="1" s="1"/>
  <c r="R111" i="1"/>
  <c r="S111" i="1" s="1"/>
  <c r="R121" i="1"/>
  <c r="S121" i="1" s="1"/>
  <c r="R185" i="1"/>
  <c r="S185" i="1" s="1"/>
  <c r="R260" i="1"/>
  <c r="S260" i="1" s="1"/>
  <c r="R265" i="1"/>
  <c r="S265" i="1" s="1"/>
  <c r="R267" i="1"/>
  <c r="S267" i="1" s="1"/>
  <c r="R403" i="1"/>
  <c r="S403" i="1" s="1"/>
  <c r="R562" i="1"/>
  <c r="S562" i="1" s="1"/>
  <c r="R590" i="1"/>
  <c r="S590" i="1" s="1"/>
  <c r="R604" i="1"/>
  <c r="S604" i="1" s="1"/>
  <c r="S309" i="1"/>
  <c r="R364" i="1"/>
  <c r="S364" i="1" s="1"/>
  <c r="R85" i="1"/>
  <c r="S85" i="1" s="1"/>
  <c r="R66" i="1"/>
  <c r="S66" i="1" s="1"/>
  <c r="R75" i="1"/>
  <c r="S75" i="1" s="1"/>
  <c r="R122" i="1"/>
  <c r="S122" i="1" s="1"/>
  <c r="R134" i="1"/>
  <c r="S134" i="1" s="1"/>
  <c r="R141" i="1"/>
  <c r="S141" i="1" s="1"/>
  <c r="R286" i="1"/>
  <c r="S286" i="1" s="1"/>
  <c r="R288" i="1"/>
  <c r="S288" i="1" s="1"/>
  <c r="R290" i="1"/>
  <c r="S290" i="1" s="1"/>
  <c r="R294" i="1"/>
  <c r="S294" i="1" s="1"/>
  <c r="R296" i="1"/>
  <c r="S296" i="1" s="1"/>
  <c r="R304" i="1"/>
  <c r="S304" i="1" s="1"/>
  <c r="R330" i="1"/>
  <c r="S330" i="1" s="1"/>
  <c r="R394" i="1"/>
  <c r="S394" i="1" s="1"/>
  <c r="R589" i="1"/>
  <c r="S589" i="1" s="1"/>
  <c r="R62" i="1"/>
  <c r="S62" i="1" s="1"/>
  <c r="R74" i="1"/>
  <c r="S74" i="1" s="1"/>
  <c r="R93" i="1"/>
  <c r="S93" i="1" s="1"/>
  <c r="R97" i="1"/>
  <c r="S97" i="1" s="1"/>
  <c r="R102" i="1"/>
  <c r="S102" i="1" s="1"/>
  <c r="R113" i="1"/>
  <c r="S113" i="1" s="1"/>
  <c r="R152" i="1"/>
  <c r="S152" i="1" s="1"/>
  <c r="R164" i="1"/>
  <c r="S164" i="1" s="1"/>
  <c r="R184" i="1"/>
  <c r="S184" i="1" s="1"/>
  <c r="R261" i="1"/>
  <c r="S261" i="1" s="1"/>
  <c r="R268" i="1"/>
  <c r="S268" i="1" s="1"/>
  <c r="R319" i="1"/>
  <c r="S319" i="1" s="1"/>
  <c r="R380" i="1"/>
  <c r="S380" i="1" s="1"/>
  <c r="R382" i="1"/>
  <c r="S382" i="1" s="1"/>
  <c r="R593" i="1"/>
  <c r="S593" i="1" s="1"/>
  <c r="R605" i="1"/>
  <c r="S605" i="1" s="1"/>
  <c r="R176" i="1"/>
  <c r="S176" i="1" s="1"/>
  <c r="R295" i="1"/>
  <c r="S295" i="1" s="1"/>
  <c r="R95" i="1"/>
  <c r="S95" i="1" s="1"/>
  <c r="R378" i="1"/>
  <c r="S378" i="1" s="1"/>
  <c r="R155" i="1"/>
  <c r="S155" i="1" s="1"/>
  <c r="R64" i="1"/>
  <c r="S64" i="1" s="1"/>
  <c r="R80" i="1"/>
  <c r="S80" i="1" s="1"/>
  <c r="R263" i="1"/>
  <c r="S263" i="1" s="1"/>
  <c r="R299" i="1"/>
  <c r="S299" i="1" s="1"/>
  <c r="R103" i="1"/>
  <c r="S103" i="1" s="1"/>
  <c r="R381" i="1"/>
  <c r="S381" i="1" s="1"/>
  <c r="R559" i="1"/>
  <c r="S559" i="1" s="1"/>
  <c r="R302" i="1"/>
  <c r="S302" i="1" s="1"/>
  <c r="R109" i="1"/>
  <c r="S109" i="1" s="1"/>
  <c r="R510" i="1"/>
  <c r="S510" i="1" s="1"/>
  <c r="R193" i="1"/>
  <c r="S193" i="1" s="1"/>
  <c r="R220" i="1"/>
  <c r="S220" i="1" s="1"/>
  <c r="R60" i="1"/>
  <c r="S60" i="1" s="1"/>
  <c r="R114" i="1"/>
  <c r="S114" i="1" s="1"/>
  <c r="R297" i="1"/>
  <c r="S297" i="1" s="1"/>
  <c r="R98" i="1"/>
  <c r="S98" i="1" s="1"/>
  <c r="R331" i="1"/>
  <c r="S331" i="1" s="1"/>
  <c r="R58" i="1"/>
  <c r="S58" i="1" s="1"/>
  <c r="R372" i="1"/>
  <c r="S372" i="1" s="1"/>
  <c r="R172" i="1"/>
  <c r="S172" i="1" s="1"/>
  <c r="R6" i="1"/>
  <c r="S6" i="1" s="1"/>
  <c r="R153" i="1"/>
  <c r="S153" i="1" s="1"/>
  <c r="S7" i="1"/>
  <c r="R115" i="1"/>
  <c r="S115" i="1" s="1"/>
  <c r="R151" i="1"/>
  <c r="S151" i="1" s="1"/>
  <c r="R592" i="1"/>
  <c r="S592" i="1" s="1"/>
  <c r="R10" i="1"/>
  <c r="S10" i="1" s="1"/>
  <c r="R370" i="1"/>
  <c r="S370" i="1" s="1"/>
  <c r="S212" i="1"/>
  <c r="R558" i="1"/>
  <c r="S558" i="1" s="1"/>
  <c r="R431" i="1"/>
  <c r="S431" i="1" s="1"/>
  <c r="R197" i="1"/>
  <c r="S197" i="1" s="1"/>
  <c r="R289" i="1"/>
  <c r="S289" i="1" s="1"/>
  <c r="R392" i="1"/>
  <c r="S392" i="1" s="1"/>
  <c r="R158" i="1"/>
  <c r="S158" i="1" s="1"/>
  <c r="R68" i="1"/>
  <c r="S68" i="1" s="1"/>
  <c r="R159" i="1"/>
  <c r="S159" i="1" s="1"/>
  <c r="R425" i="1"/>
  <c r="S425" i="1" s="1"/>
  <c r="R76" i="1"/>
  <c r="S76" i="1" s="1"/>
  <c r="R157" i="1"/>
  <c r="S157" i="1" s="1"/>
  <c r="R140" i="1"/>
  <c r="S140" i="1" s="1"/>
  <c r="R587" i="1"/>
  <c r="S587" i="1" s="1"/>
  <c r="R180" i="1"/>
  <c r="S180" i="1" s="1"/>
  <c r="R606" i="1"/>
  <c r="S606" i="1" s="1"/>
  <c r="R150" i="1"/>
  <c r="S150" i="1" s="1"/>
  <c r="R67" i="1"/>
  <c r="S67" i="1" s="1"/>
  <c r="R393" i="1"/>
  <c r="S393" i="1" s="1"/>
  <c r="R89" i="1"/>
  <c r="S89" i="1" s="1"/>
  <c r="R177" i="1"/>
  <c r="S177" i="1" s="1"/>
  <c r="R555" i="1"/>
  <c r="S555" i="1" s="1"/>
  <c r="S192" i="1"/>
  <c r="R361" i="1"/>
  <c r="S361" i="1" s="1"/>
  <c r="R204" i="1"/>
  <c r="S204" i="1" s="1"/>
  <c r="R316" i="1"/>
  <c r="S316" i="1" s="1"/>
  <c r="R116" i="1"/>
  <c r="S116" i="1" s="1"/>
  <c r="R353" i="1"/>
  <c r="S353" i="1" s="1"/>
  <c r="R59" i="1"/>
  <c r="S59" i="1" s="1"/>
  <c r="R306" i="1"/>
  <c r="S306" i="1" s="1"/>
  <c r="S310" i="1"/>
  <c r="R144" i="1"/>
  <c r="S144" i="1" s="1"/>
  <c r="R298" i="1"/>
  <c r="S298" i="1" s="1"/>
  <c r="R329" i="1"/>
  <c r="S329" i="1" s="1"/>
  <c r="R138" i="1"/>
  <c r="S138" i="1" s="1"/>
  <c r="R117" i="1"/>
  <c r="S117" i="1" s="1"/>
  <c r="R547" i="1"/>
  <c r="S547" i="1" s="1"/>
  <c r="R354" i="1"/>
  <c r="S354" i="1" s="1"/>
  <c r="R118" i="1"/>
  <c r="S118" i="1" s="1"/>
  <c r="R371" i="1"/>
  <c r="S371" i="1" s="1"/>
  <c r="R591" i="1"/>
  <c r="S591" i="1" s="1"/>
  <c r="R554" i="1"/>
  <c r="S554" i="1" s="1"/>
  <c r="R160" i="1"/>
  <c r="S160" i="1" s="1"/>
  <c r="R424" i="1"/>
  <c r="S424" i="1" s="1"/>
  <c r="R327" i="1"/>
  <c r="S327" i="1" s="1"/>
  <c r="R61" i="1"/>
  <c r="S61" i="1" s="1"/>
  <c r="R147" i="1"/>
  <c r="S147" i="1" s="1"/>
  <c r="R127" i="1"/>
  <c r="S127" i="1" s="1"/>
  <c r="R300" i="1"/>
  <c r="S300" i="1" s="1"/>
  <c r="R359" i="1"/>
  <c r="S359" i="1" s="1"/>
  <c r="R81" i="1"/>
  <c r="S81" i="1" s="1"/>
  <c r="R556" i="1"/>
  <c r="S556" i="1" s="1"/>
  <c r="R165" i="1"/>
  <c r="S165" i="1" s="1"/>
  <c r="S336" i="1"/>
  <c r="R328" i="1"/>
  <c r="S328" i="1" s="1"/>
  <c r="R202" i="1"/>
  <c r="S202" i="1" s="1"/>
  <c r="R266" i="1"/>
  <c r="S266" i="1" s="1"/>
  <c r="R124" i="1"/>
  <c r="S124" i="1" s="1"/>
  <c r="S325" i="1"/>
  <c r="R360" i="1"/>
  <c r="S360" i="1" s="1"/>
  <c r="S167" i="1"/>
  <c r="R174" i="1"/>
  <c r="S174" i="1" s="1"/>
  <c r="R105" i="1"/>
  <c r="S105" i="1" s="1"/>
  <c r="R156" i="1"/>
  <c r="S156" i="1" s="1"/>
  <c r="R264" i="1"/>
  <c r="S264" i="1" s="1"/>
  <c r="S588" i="1"/>
  <c r="R148" i="1"/>
  <c r="S148" i="1" s="1"/>
  <c r="R128" i="1"/>
  <c r="S128" i="1" s="1"/>
  <c r="R8" i="1"/>
  <c r="S8" i="1" s="1"/>
  <c r="R292" i="1"/>
  <c r="S292" i="1" s="1"/>
  <c r="R332" i="1"/>
  <c r="S332" i="1" s="1"/>
  <c r="R388" i="1"/>
  <c r="S388" i="1" s="1"/>
  <c r="R12" i="1"/>
  <c r="S12" i="1" s="1"/>
  <c r="R219" i="1"/>
  <c r="S219" i="1" s="1"/>
  <c r="R415" i="1"/>
  <c r="S415" i="1" s="1"/>
  <c r="R430" i="1"/>
  <c r="S430" i="1" s="1"/>
  <c r="R71" i="1"/>
  <c r="S71" i="1" s="1"/>
  <c r="R404" i="1"/>
  <c r="S404" i="1" s="1"/>
  <c r="R126" i="1"/>
  <c r="S126" i="1" s="1"/>
  <c r="R154" i="1"/>
  <c r="S154" i="1" s="1"/>
  <c r="R100" i="1"/>
  <c r="S100" i="1" s="1"/>
  <c r="R26" i="1"/>
  <c r="S26" i="1" s="1"/>
  <c r="R194" i="1"/>
  <c r="S194" i="1" s="1"/>
  <c r="R389" i="1"/>
  <c r="S389" i="1" s="1"/>
  <c r="R112" i="1"/>
  <c r="S112" i="1" s="1"/>
  <c r="R373" i="1"/>
  <c r="S373" i="1" s="1"/>
  <c r="R27" i="1"/>
  <c r="S27" i="1" s="1"/>
  <c r="R557" i="1"/>
  <c r="S557" i="1" s="1"/>
  <c r="R402" i="1"/>
  <c r="S402" i="1" s="1"/>
  <c r="R175" i="1"/>
  <c r="S175" i="1" s="1"/>
  <c r="R342" i="1"/>
  <c r="S342" i="1" s="1"/>
  <c r="R11" i="1"/>
  <c r="S11" i="1" s="1"/>
  <c r="R188" i="1"/>
  <c r="S188" i="1" s="1"/>
  <c r="R269" i="1"/>
  <c r="S269" i="1" s="1"/>
  <c r="R567" i="1"/>
  <c r="S567" i="1" s="1"/>
  <c r="R561" i="1"/>
  <c r="S561" i="1" s="1"/>
  <c r="R326" i="1"/>
  <c r="S326" i="1" s="1"/>
  <c r="R426" i="1"/>
  <c r="S426" i="1" s="1"/>
  <c r="R398" i="1"/>
  <c r="S398" i="1" s="1"/>
  <c r="R352" i="1"/>
  <c r="S352" i="1" s="1"/>
  <c r="R137" i="1"/>
  <c r="S137" i="1" s="1"/>
  <c r="R166" i="1"/>
  <c r="S166" i="1" s="1"/>
  <c r="R25" i="1"/>
  <c r="S25" i="1" s="1"/>
  <c r="R9" i="1"/>
  <c r="S9" i="1" s="1"/>
  <c r="R390" i="1"/>
  <c r="S390" i="1" s="1"/>
  <c r="R146" i="1"/>
  <c r="S146" i="1" s="1"/>
  <c r="R348" i="1"/>
  <c r="S348" i="1" s="1"/>
  <c r="R149" i="1"/>
  <c r="S149" i="1" s="1"/>
  <c r="S20" i="1"/>
  <c r="R24" i="1"/>
  <c r="S24" i="1" s="1"/>
  <c r="R72" i="1"/>
  <c r="S72" i="1" s="1"/>
  <c r="R53" i="1"/>
  <c r="S53" i="1" s="1"/>
  <c r="R136" i="1"/>
  <c r="S136" i="1" s="1"/>
  <c r="R315" i="1"/>
  <c r="S315" i="1" s="1"/>
  <c r="S323" i="1"/>
</calcChain>
</file>

<file path=xl/sharedStrings.xml><?xml version="1.0" encoding="utf-8"?>
<sst xmlns="http://schemas.openxmlformats.org/spreadsheetml/2006/main" count="4564" uniqueCount="749">
  <si>
    <t>no</t>
  </si>
  <si>
    <t>site_name</t>
  </si>
  <si>
    <t>vessel_number</t>
  </si>
  <si>
    <t>type_category</t>
  </si>
  <si>
    <t>size_category</t>
  </si>
  <si>
    <t>rim_category</t>
  </si>
  <si>
    <t>rim_collapsed</t>
  </si>
  <si>
    <t>base_category</t>
  </si>
  <si>
    <t>att_category</t>
  </si>
  <si>
    <t>orifice_diameter</t>
  </si>
  <si>
    <t>vessel_height</t>
  </si>
  <si>
    <t>vessel_width</t>
  </si>
  <si>
    <t>actual_diameter</t>
  </si>
  <si>
    <t>actual_height</t>
  </si>
  <si>
    <t>actual_width</t>
  </si>
  <si>
    <t>volume_cm3</t>
  </si>
  <si>
    <t>litres</t>
  </si>
  <si>
    <t>Akumbu</t>
  </si>
  <si>
    <t>V22</t>
  </si>
  <si>
    <t>a</t>
  </si>
  <si>
    <t>Sr</t>
  </si>
  <si>
    <t>S</t>
  </si>
  <si>
    <t>Bro</t>
  </si>
  <si>
    <t>Dia Shoma</t>
  </si>
  <si>
    <t>V74</t>
  </si>
  <si>
    <t>b</t>
  </si>
  <si>
    <t>Otc</t>
  </si>
  <si>
    <t>Ot</t>
  </si>
  <si>
    <t>Br</t>
  </si>
  <si>
    <t>Gao Saney</t>
  </si>
  <si>
    <t>V100</t>
  </si>
  <si>
    <t>Jenne-jeno</t>
  </si>
  <si>
    <t>V113</t>
  </si>
  <si>
    <t>c</t>
  </si>
  <si>
    <t>V114</t>
  </si>
  <si>
    <t>V121</t>
  </si>
  <si>
    <t>V122</t>
  </si>
  <si>
    <t>d</t>
  </si>
  <si>
    <t>V133</t>
  </si>
  <si>
    <t>V139</t>
  </si>
  <si>
    <t>V140</t>
  </si>
  <si>
    <t>V169</t>
  </si>
  <si>
    <t>e</t>
  </si>
  <si>
    <t>Kobadi</t>
  </si>
  <si>
    <t>V285</t>
  </si>
  <si>
    <t>Sp</t>
  </si>
  <si>
    <t>V286</t>
  </si>
  <si>
    <t>V287</t>
  </si>
  <si>
    <t>V288</t>
  </si>
  <si>
    <t>V289</t>
  </si>
  <si>
    <t>V290</t>
  </si>
  <si>
    <t>V291</t>
  </si>
  <si>
    <t>V292</t>
  </si>
  <si>
    <t>V293</t>
  </si>
  <si>
    <t>Itc</t>
  </si>
  <si>
    <t>It</t>
  </si>
  <si>
    <t>V294</t>
  </si>
  <si>
    <t>V295</t>
  </si>
  <si>
    <t>V296</t>
  </si>
  <si>
    <t>V297</t>
  </si>
  <si>
    <t>Tc</t>
  </si>
  <si>
    <t>T</t>
  </si>
  <si>
    <t>V298</t>
  </si>
  <si>
    <t>V299</t>
  </si>
  <si>
    <t>V300</t>
  </si>
  <si>
    <t>V301</t>
  </si>
  <si>
    <t>V302</t>
  </si>
  <si>
    <t>V303</t>
  </si>
  <si>
    <t>V304</t>
  </si>
  <si>
    <t>V305</t>
  </si>
  <si>
    <t>Koumbi Saleh</t>
  </si>
  <si>
    <t>V328</t>
  </si>
  <si>
    <t>V329</t>
  </si>
  <si>
    <t>Timbuktu</t>
  </si>
  <si>
    <t>V360</t>
  </si>
  <si>
    <t>Winde Koroji</t>
  </si>
  <si>
    <t>V395</t>
  </si>
  <si>
    <t>Karkarichinkat</t>
  </si>
  <si>
    <t>V589</t>
  </si>
  <si>
    <t>V591</t>
  </si>
  <si>
    <t>V21</t>
  </si>
  <si>
    <t>Dia Mare</t>
  </si>
  <si>
    <t>V61</t>
  </si>
  <si>
    <t>V62</t>
  </si>
  <si>
    <t>V73</t>
  </si>
  <si>
    <t>V79</t>
  </si>
  <si>
    <t>Oth</t>
  </si>
  <si>
    <t>V80</t>
  </si>
  <si>
    <t>V81</t>
  </si>
  <si>
    <t>V88</t>
  </si>
  <si>
    <t>V89</t>
  </si>
  <si>
    <t>V92</t>
  </si>
  <si>
    <t>Tf</t>
  </si>
  <si>
    <t>V94</t>
  </si>
  <si>
    <t>V96</t>
  </si>
  <si>
    <t>V97</t>
  </si>
  <si>
    <t>V101</t>
  </si>
  <si>
    <t>V102</t>
  </si>
  <si>
    <t>V104</t>
  </si>
  <si>
    <t>V107</t>
  </si>
  <si>
    <t>Sf</t>
  </si>
  <si>
    <t>V108</t>
  </si>
  <si>
    <t>V110</t>
  </si>
  <si>
    <t>V112</t>
  </si>
  <si>
    <t>V120</t>
  </si>
  <si>
    <t>V137</t>
  </si>
  <si>
    <t>V150</t>
  </si>
  <si>
    <t>Y</t>
  </si>
  <si>
    <t>V151</t>
  </si>
  <si>
    <t>Ith</t>
  </si>
  <si>
    <t>Pl</t>
  </si>
  <si>
    <t>V155</t>
  </si>
  <si>
    <t>V163</t>
  </si>
  <si>
    <t>KNTII</t>
  </si>
  <si>
    <t>V179</t>
  </si>
  <si>
    <t>Sb</t>
  </si>
  <si>
    <t>V183</t>
  </si>
  <si>
    <t>V184</t>
  </si>
  <si>
    <t>V187</t>
  </si>
  <si>
    <t>V259</t>
  </si>
  <si>
    <t>V260</t>
  </si>
  <si>
    <t>V262</t>
  </si>
  <si>
    <t>V263</t>
  </si>
  <si>
    <t>V264</t>
  </si>
  <si>
    <t>V265</t>
  </si>
  <si>
    <t>V266</t>
  </si>
  <si>
    <t>V267</t>
  </si>
  <si>
    <t>V268</t>
  </si>
  <si>
    <t>V318</t>
  </si>
  <si>
    <t>V330</t>
  </si>
  <si>
    <t>Toubel</t>
  </si>
  <si>
    <t>V381</t>
  </si>
  <si>
    <t>Bf</t>
  </si>
  <si>
    <t>V382</t>
  </si>
  <si>
    <t>Bpe</t>
  </si>
  <si>
    <t>V383</t>
  </si>
  <si>
    <t>V404</t>
  </si>
  <si>
    <t>Pegue A</t>
  </si>
  <si>
    <t>V511</t>
  </si>
  <si>
    <t>Togue Doupville-Galia</t>
  </si>
  <si>
    <t>V564</t>
  </si>
  <si>
    <t>V569</t>
  </si>
  <si>
    <t>V592</t>
  </si>
  <si>
    <t>V593</t>
  </si>
  <si>
    <t>V594</t>
  </si>
  <si>
    <t>V595</t>
  </si>
  <si>
    <t>Mema</t>
  </si>
  <si>
    <t>V606</t>
  </si>
  <si>
    <t>V607</t>
  </si>
  <si>
    <t>V608</t>
  </si>
  <si>
    <t>V11</t>
  </si>
  <si>
    <t>V23</t>
  </si>
  <si>
    <t>V52</t>
  </si>
  <si>
    <t>V59</t>
  </si>
  <si>
    <t>Es</t>
  </si>
  <si>
    <t>E</t>
  </si>
  <si>
    <t>V60</t>
  </si>
  <si>
    <t>V65</t>
  </si>
  <si>
    <t>V66</t>
  </si>
  <si>
    <t>V75</t>
  </si>
  <si>
    <t>V99</t>
  </si>
  <si>
    <t>V111</t>
  </si>
  <si>
    <t>V115</t>
  </si>
  <si>
    <t>V116</t>
  </si>
  <si>
    <t>V123</t>
  </si>
  <si>
    <t>V148</t>
  </si>
  <si>
    <t>V393</t>
  </si>
  <si>
    <t>V394</t>
  </si>
  <si>
    <t>V399</t>
  </si>
  <si>
    <t>V405</t>
  </si>
  <si>
    <t>Dangandouloun</t>
  </si>
  <si>
    <t>V431</t>
  </si>
  <si>
    <t>V432</t>
  </si>
  <si>
    <t>V548</t>
  </si>
  <si>
    <t>V555</t>
  </si>
  <si>
    <t>V557</t>
  </si>
  <si>
    <t>V590</t>
  </si>
  <si>
    <t>V1</t>
  </si>
  <si>
    <t>V2</t>
  </si>
  <si>
    <t>V3</t>
  </si>
  <si>
    <t>V13</t>
  </si>
  <si>
    <t>Efl</t>
  </si>
  <si>
    <t>V14</t>
  </si>
  <si>
    <t>V20</t>
  </si>
  <si>
    <t>V33</t>
  </si>
  <si>
    <t>V47</t>
  </si>
  <si>
    <t>V48</t>
  </si>
  <si>
    <t>V64</t>
  </si>
  <si>
    <t>V76</t>
  </si>
  <si>
    <t>V78</t>
  </si>
  <si>
    <t>V93</t>
  </si>
  <si>
    <t>V95</t>
  </si>
  <si>
    <t>V98</t>
  </si>
  <si>
    <t>V103</t>
  </si>
  <si>
    <t>V105</t>
  </si>
  <si>
    <t>V106</t>
  </si>
  <si>
    <t>V109</t>
  </si>
  <si>
    <t>V134</t>
  </si>
  <si>
    <t>V138</t>
  </si>
  <si>
    <t>V144</t>
  </si>
  <si>
    <t>Th</t>
  </si>
  <si>
    <t>V161</t>
  </si>
  <si>
    <t>V167</t>
  </si>
  <si>
    <t>B</t>
  </si>
  <si>
    <t>V168</t>
  </si>
  <si>
    <t>V177</t>
  </si>
  <si>
    <t>V178</t>
  </si>
  <si>
    <t>V180</t>
  </si>
  <si>
    <t>V181</t>
  </si>
  <si>
    <t>V182</t>
  </si>
  <si>
    <t>V185</t>
  </si>
  <si>
    <t>V186</t>
  </si>
  <si>
    <t>V188</t>
  </si>
  <si>
    <t>V223</t>
  </si>
  <si>
    <t>V261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</si>
  <si>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</si>
  <si>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</si>
  <si>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</si>
  <si>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</si>
  <si>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</si>
  <si>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</si>
  <si>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</si>
  <si>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</si>
  <si>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</si>
  <si>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</si>
  <si>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</si>
  <si>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</si>
  <si>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</si>
  <si>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</si>
  <si>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</si>
  <si>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</si>
  <si>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Korounkorokale</t>
  </si>
  <si>
    <t>V306</t>
  </si>
  <si>
    <t>V307</t>
  </si>
  <si>
    <t>V316</t>
  </si>
  <si>
    <t>V317</t>
  </si>
  <si>
    <t>V320</t>
  </si>
  <si>
    <t>Bpo</t>
  </si>
  <si>
    <t>V321</t>
  </si>
  <si>
    <t>V332</t>
  </si>
  <si>
    <t>H</t>
  </si>
  <si>
    <t>V333</t>
  </si>
  <si>
    <t>Sadia</t>
  </si>
  <si>
    <t>V336</t>
  </si>
  <si>
    <t>V346</t>
  </si>
  <si>
    <t>V350</t>
  </si>
  <si>
    <t>V351</t>
  </si>
  <si>
    <t>V352</t>
  </si>
  <si>
    <t>V359</t>
  </si>
  <si>
    <t>V377</t>
  </si>
  <si>
    <t>V378</t>
  </si>
  <si>
    <t>V396</t>
  </si>
  <si>
    <t>V401</t>
  </si>
  <si>
    <t>V406</t>
  </si>
  <si>
    <t>V407</t>
  </si>
  <si>
    <t>Itf</t>
  </si>
  <si>
    <t>V408</t>
  </si>
  <si>
    <t>V424</t>
  </si>
  <si>
    <t>V428</t>
  </si>
  <si>
    <t>V429</t>
  </si>
  <si>
    <t>V430</t>
  </si>
  <si>
    <t>V437</t>
  </si>
  <si>
    <t>V439</t>
  </si>
  <si>
    <t>Dourou-boro</t>
  </si>
  <si>
    <t>V474</t>
  </si>
  <si>
    <t>V475</t>
  </si>
  <si>
    <t>V481</t>
  </si>
  <si>
    <t>V482</t>
  </si>
  <si>
    <t>V484</t>
  </si>
  <si>
    <t>V486</t>
  </si>
  <si>
    <t>V506</t>
  </si>
  <si>
    <t>V507</t>
  </si>
  <si>
    <t>V508</t>
  </si>
  <si>
    <t>V510</t>
  </si>
  <si>
    <t>V512</t>
  </si>
  <si>
    <t>V513</t>
  </si>
  <si>
    <t>V514</t>
  </si>
  <si>
    <t>V516</t>
  </si>
  <si>
    <t>V517</t>
  </si>
  <si>
    <t>V549</t>
  </si>
  <si>
    <t>V551</t>
  </si>
  <si>
    <t>V553</t>
  </si>
  <si>
    <t>V566</t>
  </si>
  <si>
    <t>V567</t>
  </si>
  <si>
    <t>V570</t>
  </si>
  <si>
    <t>Dhar Tichitt</t>
  </si>
  <si>
    <t>V580</t>
  </si>
  <si>
    <t>V581</t>
  </si>
  <si>
    <t>V587</t>
  </si>
  <si>
    <t>V596</t>
  </si>
  <si>
    <t>V602</t>
  </si>
  <si>
    <t>V614</t>
  </si>
  <si>
    <t>V12</t>
  </si>
  <si>
    <t>V15</t>
  </si>
  <si>
    <t>Vs</t>
  </si>
  <si>
    <t>V</t>
  </si>
  <si>
    <t>V16</t>
  </si>
  <si>
    <t>V17</t>
  </si>
  <si>
    <t>V18</t>
  </si>
  <si>
    <t>V27</t>
  </si>
  <si>
    <t>V28</t>
  </si>
  <si>
    <t>V29</t>
  </si>
  <si>
    <t>V30</t>
  </si>
  <si>
    <t>V31</t>
  </si>
  <si>
    <t>V32</t>
  </si>
  <si>
    <t>V34</t>
  </si>
  <si>
    <t>V35</t>
  </si>
  <si>
    <t>V39</t>
  </si>
  <si>
    <t>V40</t>
  </si>
  <si>
    <t>V41</t>
  </si>
  <si>
    <t>V42</t>
  </si>
  <si>
    <t>V43</t>
  </si>
  <si>
    <t>V44</t>
  </si>
  <si>
    <t>Ec</t>
  </si>
  <si>
    <t>V45</t>
  </si>
  <si>
    <t>V46</t>
  </si>
  <si>
    <t>V53</t>
  </si>
  <si>
    <t>V54</t>
  </si>
  <si>
    <t>V55</t>
  </si>
  <si>
    <t>V56</t>
  </si>
  <si>
    <t>V68</t>
  </si>
  <si>
    <t>V69</t>
  </si>
  <si>
    <t>V83</t>
  </si>
  <si>
    <t>V85</t>
  </si>
  <si>
    <t>V86</t>
  </si>
  <si>
    <t>V87</t>
  </si>
  <si>
    <t>V90</t>
  </si>
  <si>
    <t>V91</t>
  </si>
  <si>
    <t>V118</t>
  </si>
  <si>
    <t>V124</t>
  </si>
  <si>
    <t>V128</t>
  </si>
  <si>
    <t>V129</t>
  </si>
  <si>
    <t>V130</t>
  </si>
  <si>
    <t>V131</t>
  </si>
  <si>
    <t>V132</t>
  </si>
  <si>
    <t>V160</t>
  </si>
  <si>
    <t>Esg</t>
  </si>
  <si>
    <t>V162</t>
  </si>
  <si>
    <t>V172</t>
  </si>
  <si>
    <t>V189</t>
  </si>
  <si>
    <t>V194</t>
  </si>
  <si>
    <t>V195</t>
  </si>
  <si>
    <t>V197</t>
  </si>
  <si>
    <t>V198</t>
  </si>
  <si>
    <t>V199</t>
  </si>
  <si>
    <t>V200</t>
  </si>
  <si>
    <t>V202</t>
  </si>
  <si>
    <t>V204</t>
  </si>
  <si>
    <t>V205</t>
  </si>
  <si>
    <t>Ep</t>
  </si>
  <si>
    <t>V206</t>
  </si>
  <si>
    <t>V208</t>
  </si>
  <si>
    <t>Ef</t>
  </si>
  <si>
    <t>V209</t>
  </si>
  <si>
    <t>V210</t>
  </si>
  <si>
    <t>V212</t>
  </si>
  <si>
    <t>V213</t>
  </si>
  <si>
    <t>V214</t>
  </si>
  <si>
    <t>V215</t>
  </si>
  <si>
    <t>V216</t>
  </si>
  <si>
    <t>V217</t>
  </si>
  <si>
    <t>V220</t>
  </si>
  <si>
    <t>V221</t>
  </si>
  <si>
    <t>V222</t>
  </si>
  <si>
    <t>V224</t>
  </si>
  <si>
    <t>V225</t>
  </si>
  <si>
    <t>V226</t>
  </si>
  <si>
    <t>V227</t>
  </si>
  <si>
    <t>V228</t>
  </si>
  <si>
    <t>V229</t>
  </si>
  <si>
    <t>V230</t>
  </si>
  <si>
    <t>V232</t>
  </si>
  <si>
    <t>V233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</si>
  <si>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</si>
  <si>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</si>
  <si>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</si>
  <si>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</si>
  <si>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</si>
  <si>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</si>
  <si>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</si>
  <si>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</si>
  <si>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</si>
  <si>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</si>
  <si>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</si>
  <si>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</si>
  <si>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</si>
  <si>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</si>
  <si>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</si>
  <si>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</si>
  <si>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</si>
  <si>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</si>
  <si>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</si>
  <si>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</si>
  <si>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</si>
  <si>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</si>
  <si>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</si>
  <si>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</si>
  <si>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V310</t>
  </si>
  <si>
    <t>V311</t>
  </si>
  <si>
    <t>V319</t>
  </si>
  <si>
    <t>V338</t>
  </si>
  <si>
    <t>V339</t>
  </si>
  <si>
    <t>V340</t>
  </si>
  <si>
    <t>V341</t>
  </si>
  <si>
    <t>V342</t>
  </si>
  <si>
    <t>V344</t>
  </si>
  <si>
    <t>K</t>
  </si>
  <si>
    <t>V347</t>
  </si>
  <si>
    <t>V348</t>
  </si>
  <si>
    <t>V356</t>
  </si>
  <si>
    <t>V357</t>
  </si>
  <si>
    <t>Ecc</t>
  </si>
  <si>
    <t>V358</t>
  </si>
  <si>
    <t>V363</t>
  </si>
  <si>
    <t>V364</t>
  </si>
  <si>
    <t>V366</t>
  </si>
  <si>
    <t>V367</t>
  </si>
  <si>
    <t>V368</t>
  </si>
  <si>
    <t>V369</t>
  </si>
  <si>
    <t>V370</t>
  </si>
  <si>
    <t>V375</t>
  </si>
  <si>
    <t>V380</t>
  </si>
  <si>
    <t>V384</t>
  </si>
  <si>
    <t>V385</t>
  </si>
  <si>
    <t>V386</t>
  </si>
  <si>
    <t>V387</t>
  </si>
  <si>
    <t>V397</t>
  </si>
  <si>
    <t>V398</t>
  </si>
  <si>
    <t>V400</t>
  </si>
  <si>
    <t>V402</t>
  </si>
  <si>
    <t>V409</t>
  </si>
  <si>
    <t>V410</t>
  </si>
  <si>
    <t>V411</t>
  </si>
  <si>
    <t>V412</t>
  </si>
  <si>
    <t>V413</t>
  </si>
  <si>
    <t>V418</t>
  </si>
  <si>
    <t>V419</t>
  </si>
  <si>
    <t>V420</t>
  </si>
  <si>
    <t>V421</t>
  </si>
  <si>
    <t>V422</t>
  </si>
  <si>
    <t>V423</t>
  </si>
  <si>
    <t>V433</t>
  </si>
  <si>
    <t>V434</t>
  </si>
  <si>
    <t>V435</t>
  </si>
  <si>
    <t>V436</t>
  </si>
  <si>
    <t>V438</t>
  </si>
  <si>
    <t>V440</t>
  </si>
  <si>
    <t>V472</t>
  </si>
  <si>
    <t>V473</t>
  </si>
  <si>
    <t>V476</t>
  </si>
  <si>
    <t>V483</t>
  </si>
  <si>
    <t>V485</t>
  </si>
  <si>
    <t>V504</t>
  </si>
  <si>
    <t>V505</t>
  </si>
  <si>
    <t>V509</t>
  </si>
  <si>
    <t>V515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</si>
  <si>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</si>
  <si>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</si>
  <si>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</si>
  <si>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</si>
  <si>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</si>
  <si>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</si>
  <si>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</si>
  <si>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</si>
  <si>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</si>
  <si>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</si>
  <si>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</si>
  <si>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Special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</si>
  <si>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</si>
  <si>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</si>
  <si>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</si>
  <si>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</si>
  <si>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</si>
  <si>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</si>
  <si>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</si>
  <si>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</si>
  <si>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</si>
  <si>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</si>
  <si>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</si>
  <si>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V541</t>
  </si>
  <si>
    <t>V543</t>
  </si>
  <si>
    <t>V544</t>
  </si>
  <si>
    <t>V545</t>
  </si>
  <si>
    <t>V550</t>
  </si>
  <si>
    <t>V552</t>
  </si>
  <si>
    <t>V554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</si>
  <si>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</si>
  <si>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</si>
  <si>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</si>
  <si>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</si>
  <si>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</si>
  <si>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</si>
  <si>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</si>
  <si>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</si>
  <si>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</si>
  <si>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V582</t>
  </si>
  <si>
    <t>V585</t>
  </si>
  <si>
    <t>V586</t>
  </si>
  <si>
    <t>V598</t>
  </si>
  <si>
    <t>V599</t>
  </si>
  <si>
    <t>V600</t>
  </si>
  <si>
    <t>V601</t>
  </si>
  <si>
    <t>V604</t>
  </si>
  <si>
    <t>V609</t>
  </si>
  <si>
    <t>V610</t>
  </si>
  <si>
    <t>V611</t>
  </si>
  <si>
    <t>V612</t>
  </si>
  <si>
    <t>V613</t>
  </si>
  <si>
    <t>V4</t>
  </si>
  <si>
    <t>V36</t>
  </si>
  <si>
    <t>V37</t>
  </si>
  <si>
    <t>V38</t>
  </si>
  <si>
    <t>V50</t>
  </si>
  <si>
    <t>V51</t>
  </si>
  <si>
    <t>V72</t>
  </si>
  <si>
    <t>V77</t>
  </si>
  <si>
    <t>V119</t>
  </si>
  <si>
    <t>V141</t>
  </si>
  <si>
    <t>V142</t>
  </si>
  <si>
    <t>V231</t>
  </si>
  <si>
    <t>V234</t>
  </si>
  <si>
    <t>V312</t>
  </si>
  <si>
    <t>Otf</t>
  </si>
  <si>
    <t>V345</t>
  </si>
  <si>
    <t>V376</t>
  </si>
  <si>
    <t>V388</t>
  </si>
  <si>
    <t>V392</t>
  </si>
  <si>
    <t>V414</t>
  </si>
  <si>
    <t>V415</t>
  </si>
  <si>
    <t>V417</t>
  </si>
  <si>
    <t>V480</t>
  </si>
  <si>
    <t>V540</t>
  </si>
  <si>
    <t>V542</t>
  </si>
  <si>
    <t>V546</t>
  </si>
  <si>
    <t>V547</t>
  </si>
  <si>
    <t>V562</t>
  </si>
  <si>
    <t>V583</t>
  </si>
  <si>
    <t>V584</t>
  </si>
  <si>
    <t>V588</t>
  </si>
  <si>
    <t>V597</t>
  </si>
  <si>
    <t>V603</t>
  </si>
  <si>
    <t>V605</t>
  </si>
  <si>
    <t>V9</t>
  </si>
  <si>
    <t>V24</t>
  </si>
  <si>
    <t>V57</t>
  </si>
  <si>
    <t>V117</t>
  </si>
  <si>
    <t>V125</t>
  </si>
  <si>
    <t>V135</t>
  </si>
  <si>
    <t>V136</t>
  </si>
  <si>
    <t>V143</t>
  </si>
  <si>
    <t>V145</t>
  </si>
  <si>
    <t>V146</t>
  </si>
  <si>
    <t>V147</t>
  </si>
  <si>
    <t>V149</t>
  </si>
  <si>
    <t>V152</t>
  </si>
  <si>
    <t>Bl</t>
  </si>
  <si>
    <t>V153</t>
  </si>
  <si>
    <t>V154</t>
  </si>
  <si>
    <t>V157</t>
  </si>
  <si>
    <t>V158</t>
  </si>
  <si>
    <t>V159</t>
  </si>
  <si>
    <t>V164</t>
  </si>
  <si>
    <t>V174</t>
  </si>
  <si>
    <t>V176</t>
  </si>
  <si>
    <t>V331</t>
  </si>
  <si>
    <t>V349</t>
  </si>
  <si>
    <t>V353</t>
  </si>
  <si>
    <t>V354</t>
  </si>
  <si>
    <t>V355</t>
  </si>
  <si>
    <t>V361</t>
  </si>
  <si>
    <t>V365</t>
  </si>
  <si>
    <t>V371</t>
  </si>
  <si>
    <t>V372</t>
  </si>
  <si>
    <t>V373</t>
  </si>
  <si>
    <t>V374</t>
  </si>
  <si>
    <t>V379</t>
  </si>
  <si>
    <t>V391</t>
  </si>
  <si>
    <t>V425</t>
  </si>
  <si>
    <t>V426</t>
  </si>
  <si>
    <t>V427</t>
  </si>
  <si>
    <t>V556</t>
  </si>
  <si>
    <t>V10</t>
  </si>
  <si>
    <t>V25</t>
  </si>
  <si>
    <t>V26</t>
  </si>
  <si>
    <t>V58</t>
  </si>
  <si>
    <t>V63</t>
  </si>
  <si>
    <t>V126</t>
  </si>
  <si>
    <t>V127</t>
  </si>
  <si>
    <t>V156</t>
  </si>
  <si>
    <t>V192</t>
  </si>
  <si>
    <t>V193</t>
  </si>
  <si>
    <t>V558</t>
  </si>
  <si>
    <t>V6</t>
  </si>
  <si>
    <t>V19</t>
  </si>
  <si>
    <t>V166</t>
  </si>
  <si>
    <t>V170</t>
  </si>
  <si>
    <t>V190</t>
  </si>
  <si>
    <t>V191</t>
  </si>
  <si>
    <t>V207</t>
  </si>
  <si>
    <t>V211</t>
  </si>
  <si>
    <t>V322</t>
  </si>
  <si>
    <t>V323</t>
  </si>
  <si>
    <t>V324</t>
  </si>
  <si>
    <t>V337</t>
  </si>
  <si>
    <t>V8</t>
  </si>
  <si>
    <t>V67</t>
  </si>
  <si>
    <t>V70</t>
  </si>
  <si>
    <t>V71</t>
  </si>
  <si>
    <t>V84</t>
  </si>
  <si>
    <t>V165</t>
  </si>
  <si>
    <t>V171</t>
  </si>
  <si>
    <t>V173</t>
  </si>
  <si>
    <t>V175</t>
  </si>
  <si>
    <t>V196</t>
  </si>
  <si>
    <t>V201</t>
  </si>
  <si>
    <t>V203</t>
  </si>
  <si>
    <t>V218</t>
  </si>
  <si>
    <t>V219</t>
  </si>
  <si>
    <t>V309</t>
  </si>
  <si>
    <t>V325</t>
  </si>
  <si>
    <t>V326</t>
  </si>
  <si>
    <t>V327</t>
  </si>
  <si>
    <t>V343</t>
  </si>
  <si>
    <t>V362</t>
  </si>
  <si>
    <t>V389</t>
  </si>
  <si>
    <t>V390</t>
  </si>
  <si>
    <t>V403</t>
  </si>
  <si>
    <t>V560</t>
  </si>
  <si>
    <t>V561</t>
  </si>
  <si>
    <t>V5</t>
  </si>
  <si>
    <t>V7</t>
  </si>
  <si>
    <t>V308</t>
  </si>
  <si>
    <t>V314</t>
  </si>
  <si>
    <t>V315</t>
  </si>
  <si>
    <t>V416</t>
  </si>
  <si>
    <t>V563</t>
  </si>
  <si>
    <t>V49</t>
  </si>
  <si>
    <t>V82</t>
  </si>
  <si>
    <t>V313</t>
  </si>
  <si>
    <t>V568</t>
  </si>
  <si>
    <t>V441</t>
  </si>
  <si>
    <t>Bt</t>
  </si>
  <si>
    <t>V443</t>
  </si>
  <si>
    <t>V447</t>
  </si>
  <si>
    <t>V492</t>
  </si>
  <si>
    <t>V493</t>
  </si>
  <si>
    <t>V494</t>
  </si>
  <si>
    <t>V495</t>
  </si>
  <si>
    <t>V499</t>
  </si>
  <si>
    <t>V500</t>
  </si>
  <si>
    <t>V502</t>
  </si>
  <si>
    <t>V442</t>
  </si>
  <si>
    <t>V444</t>
  </si>
  <si>
    <t>V445</t>
  </si>
  <si>
    <t>V446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</si>
  <si>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</si>
  <si>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</si>
  <si>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</si>
  <si>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</si>
  <si>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</si>
  <si>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</si>
  <si>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</si>
  <si>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</si>
  <si>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</si>
  <si>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</si>
  <si>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</si>
  <si>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</si>
  <si>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</si>
  <si>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</si>
  <si>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</si>
  <si>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</si>
  <si>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</si>
  <si>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</si>
  <si>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</si>
  <si>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</si>
  <si>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</si>
  <si>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</si>
  <si>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</si>
  <si>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</si>
  <si>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V477</t>
  </si>
  <si>
    <t>V478</t>
  </si>
  <si>
    <t>V479</t>
  </si>
  <si>
    <t>V487</t>
  </si>
  <si>
    <t>V488</t>
  </si>
  <si>
    <t>V489</t>
  </si>
  <si>
    <t>V490</t>
  </si>
  <si>
    <t>V491</t>
  </si>
  <si>
    <t>V496</t>
  </si>
  <si>
    <t>V497</t>
  </si>
  <si>
    <t>V498</t>
  </si>
  <si>
    <t>V501</t>
  </si>
  <si>
    <t>V503</t>
  </si>
  <si>
    <t>V565</t>
  </si>
  <si>
    <t>date</t>
  </si>
  <si>
    <t>bc_ad</t>
  </si>
  <si>
    <t>2700-2020</t>
  </si>
  <si>
    <t>1800-800</t>
  </si>
  <si>
    <t>500-600</t>
  </si>
  <si>
    <t>600-1400</t>
  </si>
  <si>
    <t>1600-1700</t>
  </si>
  <si>
    <t>1-1000</t>
  </si>
  <si>
    <t>1000-1600</t>
  </si>
  <si>
    <t>800-200</t>
  </si>
  <si>
    <t>700-1100</t>
  </si>
  <si>
    <t>250-350</t>
  </si>
  <si>
    <t>350-850</t>
  </si>
  <si>
    <t>850-1400</t>
  </si>
  <si>
    <t>300-440</t>
  </si>
  <si>
    <t>440-640</t>
  </si>
  <si>
    <t>540-605</t>
  </si>
  <si>
    <t>605-680</t>
  </si>
  <si>
    <t>440-605</t>
  </si>
  <si>
    <t>390-540</t>
  </si>
  <si>
    <t>1700-1400</t>
  </si>
  <si>
    <t>4230-3820</t>
  </si>
  <si>
    <t>890-1160</t>
  </si>
  <si>
    <t>850-1300</t>
  </si>
  <si>
    <t>1000-1300</t>
  </si>
  <si>
    <t>850-1050</t>
  </si>
  <si>
    <t>1050-1300</t>
  </si>
  <si>
    <t>1000</t>
  </si>
  <si>
    <t>1000-1200</t>
  </si>
  <si>
    <t>1010-1270</t>
  </si>
  <si>
    <t>500-100</t>
  </si>
  <si>
    <t>650-1000</t>
  </si>
  <si>
    <t>340-1295</t>
  </si>
  <si>
    <t>2100-1900</t>
  </si>
  <si>
    <t>1600-1100</t>
  </si>
  <si>
    <t>900-550</t>
  </si>
  <si>
    <t>600-1100</t>
  </si>
  <si>
    <t>600-850</t>
  </si>
  <si>
    <t>300-200</t>
  </si>
  <si>
    <t>1000-1100</t>
  </si>
  <si>
    <t>1000-1500</t>
  </si>
  <si>
    <t>1200-1500</t>
  </si>
  <si>
    <t>1000-1400</t>
  </si>
  <si>
    <t>2600-1900</t>
  </si>
  <si>
    <t>1900-1600</t>
  </si>
  <si>
    <t>1600-1000</t>
  </si>
  <si>
    <t>1000-400</t>
  </si>
  <si>
    <t>2010-1360</t>
  </si>
  <si>
    <t>1400-800</t>
  </si>
  <si>
    <t>900-400</t>
  </si>
  <si>
    <t>BC</t>
  </si>
  <si>
    <t>AD</t>
  </si>
  <si>
    <t>BC-AD</t>
  </si>
  <si>
    <t>Ounjougou-Ravin de la Mouche</t>
  </si>
  <si>
    <t>Ounjougou-Ravin du Hibou</t>
  </si>
  <si>
    <t>Ounjougou-Varves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</si>
</sst>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0" borderId="0" xfId="0" applyNumberFormat="1" applyFont="1"/>
    <xf numFmtId="49" fontId="1" fillId="0" borderId="0" xfId="0" applyNumberFormat="1" applyFont="1"/>
    <xf numFmtId="1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164" fontId="1" fillId="0" borderId="0" xfId="0" applyNumberFormat="1" applyFont="1"/>
    <xf numFmtId="2" fontId="1" fillId="0" borderId="0" xfId="0" applyNumberFormat="1" applyFont="1"/>
    <xf numFmtId="1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90C7-B9C9-46B7-85C7-D399215A4D90}">
  <dimension ref="A1:S612"/>
  <sheetViews>
    <sheetView tabSelected="1" zoomScale="82" workbookViewId="0">
      <selection activeCell="L17" sqref="L17"/>
    </sheetView>
  </sheetViews>
  <sheetFormatPr defaultRowHeight="15" x14ac:dyDescent="0.25"/>
  <cols>
    <col min="1" max="1" width="4" bestFit="1" customWidth="1"/>
    <col min="2" max="2" width="29.28515625" bestFit="1" customWidth="1"/>
    <col min="3" max="3" width="14.7109375" bestFit="1" customWidth="1"/>
    <col min="4" max="4" width="14.7109375" customWidth="1"/>
    <col min="5" max="5" width="6.140625" style="8" bestFit="1" customWidth="1"/>
    <col min="6" max="6" width="13.5703125" style="9" bestFit="1" customWidth="1"/>
    <col min="7" max="7" width="13.140625" bestFit="1" customWidth="1"/>
    <col min="8" max="8" width="12.5703125" style="8" bestFit="1" customWidth="1"/>
    <col min="9" max="9" width="13.5703125" bestFit="1" customWidth="1"/>
    <col min="10" max="10" width="13.85546875" bestFit="1" customWidth="1"/>
    <col min="11" max="11" width="12" bestFit="1" customWidth="1"/>
    <col min="12" max="12" width="16" bestFit="1" customWidth="1"/>
    <col min="13" max="13" width="13.42578125" bestFit="1" customWidth="1"/>
    <col min="14" max="14" width="12.7109375" bestFit="1" customWidth="1"/>
    <col min="15" max="15" width="15.5703125" bestFit="1" customWidth="1"/>
    <col min="16" max="16" width="13.140625" bestFit="1" customWidth="1"/>
    <col min="17" max="17" width="12.42578125" bestFit="1" customWidth="1"/>
    <col min="18" max="18" width="12.28515625" bestFit="1" customWidth="1"/>
    <col min="19" max="19" width="6.5703125" bestFit="1" customWidth="1"/>
  </cols>
  <sheetData>
    <row r="1" spans="1:19" x14ac:dyDescent="0.25">
      <c r="A1" s="1" t="s">
        <v>0</v>
      </c>
      <c r="B1" s="2" t="s">
        <v>1</v>
      </c>
      <c r="C1" s="2" t="s">
        <v>2</v>
      </c>
      <c r="D1" s="2" t="s">
        <v>693</v>
      </c>
      <c r="E1" s="2" t="s">
        <v>694</v>
      </c>
      <c r="F1" s="3" t="s">
        <v>3</v>
      </c>
      <c r="G1" s="4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6" t="s">
        <v>15</v>
      </c>
      <c r="S1" s="6" t="s">
        <v>16</v>
      </c>
    </row>
    <row r="2" spans="1:19" x14ac:dyDescent="0.25">
      <c r="A2" s="7">
        <v>1</v>
      </c>
      <c r="B2" s="8" t="s">
        <v>746</v>
      </c>
      <c r="C2" s="8" t="s">
        <v>177</v>
      </c>
      <c r="D2" s="7">
        <v>9400</v>
      </c>
      <c r="E2" s="8" t="s">
        <v>743</v>
      </c>
      <c r="F2" s="9">
        <v>4</v>
      </c>
      <c r="G2" s="10" t="s">
        <v>25</v>
      </c>
      <c r="H2" s="8" t="s">
        <v>20</v>
      </c>
      <c r="I2" s="8" t="s">
        <v>21</v>
      </c>
      <c r="J2" s="8"/>
      <c r="K2" s="8"/>
      <c r="L2" s="11">
        <v>5.4</v>
      </c>
      <c r="M2" s="11">
        <v>3.2</v>
      </c>
      <c r="N2" s="11">
        <v>5.4</v>
      </c>
      <c r="O2" s="11">
        <f>L2*4</f>
        <v>21.6</v>
      </c>
      <c r="P2" s="11">
        <f>M2*4</f>
        <v>12.8</v>
      </c>
      <c r="Q2" s="11">
        <f>N2*4</f>
        <v>21.6</v>
      </c>
      <c r="R2" s="12">
        <f>2/3*3.14*(Q2/2)^3</f>
        <v>2636.9971200000005</v>
      </c>
      <c r="S2" s="12">
        <f>R2/1000</f>
        <v>2.6369971200000006</v>
      </c>
    </row>
    <row r="3" spans="1:19" x14ac:dyDescent="0.25">
      <c r="A3" s="7">
        <v>2</v>
      </c>
      <c r="B3" s="8" t="s">
        <v>747</v>
      </c>
      <c r="C3" s="8" t="s">
        <v>178</v>
      </c>
      <c r="D3" s="7" t="s">
        <v>695</v>
      </c>
      <c r="E3" s="8" t="s">
        <v>743</v>
      </c>
      <c r="F3" s="9">
        <v>4</v>
      </c>
      <c r="G3" s="10" t="s">
        <v>33</v>
      </c>
      <c r="H3" s="8" t="s">
        <v>20</v>
      </c>
      <c r="I3" s="8" t="s">
        <v>21</v>
      </c>
      <c r="J3" s="8"/>
      <c r="K3" s="8"/>
      <c r="L3" s="11">
        <v>9</v>
      </c>
      <c r="M3" s="11">
        <v>6.6</v>
      </c>
      <c r="N3" s="11">
        <v>9</v>
      </c>
      <c r="O3" s="11">
        <f>L3*4</f>
        <v>36</v>
      </c>
      <c r="P3" s="11">
        <f>M3*4</f>
        <v>26.4</v>
      </c>
      <c r="Q3" s="11">
        <f>N3*4</f>
        <v>36</v>
      </c>
      <c r="R3" s="12">
        <f>2/3*3.14*(Q3/2)^3</f>
        <v>12208.32</v>
      </c>
      <c r="S3" s="12">
        <f>R3/1000</f>
        <v>12.208320000000001</v>
      </c>
    </row>
    <row r="4" spans="1:19" x14ac:dyDescent="0.25">
      <c r="A4" s="7">
        <v>3</v>
      </c>
      <c r="B4" s="8" t="s">
        <v>747</v>
      </c>
      <c r="C4" s="8" t="s">
        <v>179</v>
      </c>
      <c r="D4" s="7" t="s">
        <v>695</v>
      </c>
      <c r="E4" s="8" t="s">
        <v>743</v>
      </c>
      <c r="F4" s="9">
        <v>4</v>
      </c>
      <c r="G4" s="10" t="s">
        <v>25</v>
      </c>
      <c r="H4" s="8" t="s">
        <v>20</v>
      </c>
      <c r="I4" s="8" t="s">
        <v>21</v>
      </c>
      <c r="J4" s="8"/>
      <c r="K4" s="8"/>
      <c r="L4" s="11">
        <v>6.7</v>
      </c>
      <c r="M4" s="11">
        <v>4.2</v>
      </c>
      <c r="N4" s="11">
        <v>6.7</v>
      </c>
      <c r="O4" s="11">
        <f>L4*4</f>
        <v>26.8</v>
      </c>
      <c r="P4" s="11">
        <f>M4*4</f>
        <v>16.8</v>
      </c>
      <c r="Q4" s="11">
        <f>N4*4</f>
        <v>26.8</v>
      </c>
      <c r="R4" s="12">
        <f>2/3*3.14*(Q4/2)^3</f>
        <v>5036.7777066666667</v>
      </c>
      <c r="S4" s="12">
        <f>R4/1000</f>
        <v>5.0367777066666664</v>
      </c>
    </row>
    <row r="5" spans="1:19" x14ac:dyDescent="0.25">
      <c r="A5" s="7">
        <v>4</v>
      </c>
      <c r="B5" s="8" t="s">
        <v>748</v>
      </c>
      <c r="C5" s="8" t="s">
        <v>508</v>
      </c>
      <c r="D5" s="7" t="s">
        <v>696</v>
      </c>
      <c r="E5" s="8" t="s">
        <v>743</v>
      </c>
      <c r="F5" s="9">
        <v>6</v>
      </c>
      <c r="G5" s="10" t="s">
        <v>33</v>
      </c>
      <c r="H5" s="8" t="s">
        <v>255</v>
      </c>
      <c r="I5" s="8" t="s">
        <v>55</v>
      </c>
      <c r="J5" s="8" t="s">
        <v>22</v>
      </c>
      <c r="K5" s="8"/>
      <c r="L5" s="11">
        <v>2.2999999999999998</v>
      </c>
      <c r="M5" s="11">
        <v>8.8000000000000007</v>
      </c>
      <c r="N5" s="11">
        <v>9</v>
      </c>
      <c r="O5" s="11">
        <f>L5*4</f>
        <v>9.1999999999999993</v>
      </c>
      <c r="P5" s="11">
        <f>M5*4</f>
        <v>35.200000000000003</v>
      </c>
      <c r="Q5" s="11">
        <f>N5*4</f>
        <v>36</v>
      </c>
      <c r="R5" s="12">
        <f>(4/3)*3.14*(Q5/2)^3</f>
        <v>24416.639999999999</v>
      </c>
      <c r="S5" s="12">
        <f>R5/1000</f>
        <v>24.416640000000001</v>
      </c>
    </row>
    <row r="6" spans="1:19" x14ac:dyDescent="0.25">
      <c r="A6" s="7">
        <v>5</v>
      </c>
      <c r="B6" s="8" t="s">
        <v>748</v>
      </c>
      <c r="C6" s="8" t="s">
        <v>629</v>
      </c>
      <c r="D6" s="7" t="s">
        <v>696</v>
      </c>
      <c r="E6" s="8" t="s">
        <v>743</v>
      </c>
      <c r="F6" s="9">
        <v>11</v>
      </c>
      <c r="G6" s="10" t="s">
        <v>33</v>
      </c>
      <c r="H6" s="8" t="s">
        <v>154</v>
      </c>
      <c r="I6" s="8" t="s">
        <v>155</v>
      </c>
      <c r="J6" s="8"/>
      <c r="K6" s="8"/>
      <c r="L6" s="11">
        <v>4.5</v>
      </c>
      <c r="M6" s="11">
        <v>11.8</v>
      </c>
      <c r="N6" s="11">
        <v>8.6999999999999993</v>
      </c>
      <c r="O6" s="11">
        <f>L6*4</f>
        <v>18</v>
      </c>
      <c r="P6" s="11">
        <f>M6*4</f>
        <v>47.2</v>
      </c>
      <c r="Q6" s="11">
        <f>N6*4</f>
        <v>34.799999999999997</v>
      </c>
      <c r="R6" s="12">
        <f>4/3*3.14*(Q6/2)*(Q6/2)*(P6/2)</f>
        <v>29914.302719999992</v>
      </c>
      <c r="S6" s="12">
        <f>R6/1000</f>
        <v>29.914302719999991</v>
      </c>
    </row>
    <row r="7" spans="1:19" x14ac:dyDescent="0.25">
      <c r="A7" s="7">
        <v>6</v>
      </c>
      <c r="B7" s="8" t="s">
        <v>748</v>
      </c>
      <c r="C7" s="8" t="s">
        <v>592</v>
      </c>
      <c r="D7" s="7" t="s">
        <v>696</v>
      </c>
      <c r="E7" s="8" t="s">
        <v>743</v>
      </c>
      <c r="F7" s="9">
        <v>9</v>
      </c>
      <c r="G7" s="10" t="s">
        <v>25</v>
      </c>
      <c r="H7" s="8" t="s">
        <v>20</v>
      </c>
      <c r="I7" s="8" t="s">
        <v>21</v>
      </c>
      <c r="J7" s="8"/>
      <c r="K7" s="8"/>
      <c r="L7" s="11">
        <v>5</v>
      </c>
      <c r="M7" s="11">
        <v>5.6</v>
      </c>
      <c r="N7" s="11">
        <v>5</v>
      </c>
      <c r="O7" s="11">
        <f>L7*4</f>
        <v>20</v>
      </c>
      <c r="P7" s="11">
        <f>M7*4</f>
        <v>22.4</v>
      </c>
      <c r="Q7" s="11">
        <f>N7*4</f>
        <v>20</v>
      </c>
      <c r="R7" s="12">
        <f>4/3*3.14*(Q7/2)*(Q7/2)*(P7/2)</f>
        <v>4689.0666666666666</v>
      </c>
      <c r="S7" s="12">
        <f>R7/1000</f>
        <v>4.6890666666666663</v>
      </c>
    </row>
    <row r="8" spans="1:19" x14ac:dyDescent="0.25">
      <c r="A8" s="7">
        <v>7</v>
      </c>
      <c r="B8" s="8" t="s">
        <v>748</v>
      </c>
      <c r="C8" s="8" t="s">
        <v>630</v>
      </c>
      <c r="D8" s="7" t="s">
        <v>696</v>
      </c>
      <c r="E8" s="8" t="s">
        <v>743</v>
      </c>
      <c r="F8" s="9">
        <v>11</v>
      </c>
      <c r="G8" s="10" t="s">
        <v>33</v>
      </c>
      <c r="H8" s="8" t="s">
        <v>154</v>
      </c>
      <c r="I8" s="8" t="s">
        <v>155</v>
      </c>
      <c r="J8" s="8"/>
      <c r="K8" s="8"/>
      <c r="L8" s="11">
        <v>3.4</v>
      </c>
      <c r="M8" s="11">
        <v>10.5</v>
      </c>
      <c r="N8" s="11">
        <v>6.8</v>
      </c>
      <c r="O8" s="11">
        <f>L8*4</f>
        <v>13.6</v>
      </c>
      <c r="P8" s="11">
        <f>M8*4</f>
        <v>42</v>
      </c>
      <c r="Q8" s="11">
        <f>N8*4</f>
        <v>27.2</v>
      </c>
      <c r="R8" s="12">
        <f>4/3*3.14*(Q8/2)*(Q8/2)*(P8/2)</f>
        <v>16261.683199999999</v>
      </c>
      <c r="S8" s="12">
        <f>R8/1000</f>
        <v>16.2616832</v>
      </c>
    </row>
    <row r="9" spans="1:19" x14ac:dyDescent="0.25">
      <c r="A9" s="7">
        <v>8</v>
      </c>
      <c r="B9" s="8" t="s">
        <v>748</v>
      </c>
      <c r="C9" s="8" t="s">
        <v>604</v>
      </c>
      <c r="D9" s="7" t="s">
        <v>696</v>
      </c>
      <c r="E9" s="8" t="s">
        <v>743</v>
      </c>
      <c r="F9" s="9">
        <v>10</v>
      </c>
      <c r="G9" s="10" t="s">
        <v>33</v>
      </c>
      <c r="H9" s="8" t="s">
        <v>154</v>
      </c>
      <c r="I9" s="8" t="s">
        <v>155</v>
      </c>
      <c r="J9" s="8"/>
      <c r="K9" s="8"/>
      <c r="L9" s="11">
        <v>5.7</v>
      </c>
      <c r="M9" s="11">
        <v>9</v>
      </c>
      <c r="N9" s="11">
        <v>7.8</v>
      </c>
      <c r="O9" s="11">
        <f>L9*4</f>
        <v>22.8</v>
      </c>
      <c r="P9" s="11">
        <f>M9*4</f>
        <v>36</v>
      </c>
      <c r="Q9" s="11">
        <f>N9*4</f>
        <v>31.2</v>
      </c>
      <c r="R9" s="12">
        <f>4/3*3.14*(Q9/2)*(Q9/2)*(P9/2)</f>
        <v>18339.6096</v>
      </c>
      <c r="S9" s="12">
        <f>R9/1000</f>
        <v>18.339609599999999</v>
      </c>
    </row>
    <row r="10" spans="1:19" x14ac:dyDescent="0.25">
      <c r="A10" s="7">
        <v>9</v>
      </c>
      <c r="B10" s="8" t="s">
        <v>17</v>
      </c>
      <c r="C10" s="8" t="s">
        <v>542</v>
      </c>
      <c r="D10" s="7" t="s">
        <v>697</v>
      </c>
      <c r="E10" s="8" t="s">
        <v>744</v>
      </c>
      <c r="F10" s="9">
        <v>8</v>
      </c>
      <c r="G10" s="10" t="s">
        <v>25</v>
      </c>
      <c r="H10" s="8" t="s">
        <v>20</v>
      </c>
      <c r="I10" s="8" t="s">
        <v>21</v>
      </c>
      <c r="J10" s="8" t="s">
        <v>22</v>
      </c>
      <c r="K10" s="8"/>
      <c r="L10" s="11">
        <v>4.4000000000000004</v>
      </c>
      <c r="M10" s="11">
        <v>1.4</v>
      </c>
      <c r="N10" s="11">
        <v>4.8</v>
      </c>
      <c r="O10" s="11">
        <f>L10*4</f>
        <v>17.600000000000001</v>
      </c>
      <c r="P10" s="11">
        <f>M10*4</f>
        <v>5.6</v>
      </c>
      <c r="Q10" s="11">
        <f>N10*4</f>
        <v>19.2</v>
      </c>
      <c r="R10" s="12">
        <f>4/3*3.14*(Q10/2)*(Q10/2)*(P10/2)</f>
        <v>1080.3609599999997</v>
      </c>
      <c r="S10" s="12">
        <f>R10/1000</f>
        <v>1.0803609599999997</v>
      </c>
    </row>
    <row r="11" spans="1:19" x14ac:dyDescent="0.25">
      <c r="A11" s="7">
        <v>10</v>
      </c>
      <c r="B11" s="8" t="s">
        <v>17</v>
      </c>
      <c r="C11" s="8" t="s">
        <v>581</v>
      </c>
      <c r="D11" s="7" t="s">
        <v>697</v>
      </c>
      <c r="E11" s="8" t="s">
        <v>744</v>
      </c>
      <c r="F11" s="9">
        <v>8</v>
      </c>
      <c r="G11" s="10" t="s">
        <v>33</v>
      </c>
      <c r="H11" s="8" t="s">
        <v>20</v>
      </c>
      <c r="I11" s="8" t="s">
        <v>21</v>
      </c>
      <c r="J11" s="8" t="s">
        <v>22</v>
      </c>
      <c r="K11" s="8"/>
      <c r="L11" s="11">
        <v>7</v>
      </c>
      <c r="M11" s="11">
        <v>3.1</v>
      </c>
      <c r="N11" s="11">
        <v>8</v>
      </c>
      <c r="O11" s="11">
        <f>L11*4</f>
        <v>28</v>
      </c>
      <c r="P11" s="11">
        <f>M11*4</f>
        <v>12.4</v>
      </c>
      <c r="Q11" s="11">
        <f>N11*4</f>
        <v>32</v>
      </c>
      <c r="R11" s="12">
        <f>4/3*3.14*(Q11/2)*(Q11/2)*(P11/2)</f>
        <v>6645.0773333333336</v>
      </c>
      <c r="S11" s="12">
        <f>R11/1000</f>
        <v>6.6450773333333339</v>
      </c>
    </row>
    <row r="12" spans="1:19" x14ac:dyDescent="0.25">
      <c r="A12" s="7">
        <v>11</v>
      </c>
      <c r="B12" s="8" t="s">
        <v>17</v>
      </c>
      <c r="C12" s="8" t="s">
        <v>150</v>
      </c>
      <c r="D12" s="7" t="s">
        <v>697</v>
      </c>
      <c r="E12" s="8" t="s">
        <v>744</v>
      </c>
      <c r="F12" s="9">
        <v>3</v>
      </c>
      <c r="G12" s="10" t="s">
        <v>25</v>
      </c>
      <c r="H12" s="8" t="s">
        <v>20</v>
      </c>
      <c r="I12" s="8" t="s">
        <v>21</v>
      </c>
      <c r="J12" s="8" t="s">
        <v>22</v>
      </c>
      <c r="K12" s="8"/>
      <c r="L12" s="11">
        <v>5</v>
      </c>
      <c r="M12" s="11">
        <v>1.9</v>
      </c>
      <c r="N12" s="11">
        <v>5.2</v>
      </c>
      <c r="O12" s="11">
        <f>L12*4</f>
        <v>20</v>
      </c>
      <c r="P12" s="11">
        <f>M12*4</f>
        <v>7.6</v>
      </c>
      <c r="Q12" s="11">
        <f>N12*4</f>
        <v>20.8</v>
      </c>
      <c r="R12" s="12">
        <f>4/3*3.14*(Q12/2)*(Q12/2)*(P12/2)</f>
        <v>1720.7534933333334</v>
      </c>
      <c r="S12" s="12">
        <f>R12/1000</f>
        <v>1.7207534933333333</v>
      </c>
    </row>
    <row r="13" spans="1:19" x14ac:dyDescent="0.25">
      <c r="A13" s="7">
        <v>12</v>
      </c>
      <c r="B13" s="8" t="s">
        <v>17</v>
      </c>
      <c r="C13" s="8" t="s">
        <v>292</v>
      </c>
      <c r="D13" s="7" t="s">
        <v>697</v>
      </c>
      <c r="E13" s="8" t="s">
        <v>744</v>
      </c>
      <c r="F13" s="9">
        <v>5</v>
      </c>
      <c r="G13" s="10" t="s">
        <v>33</v>
      </c>
      <c r="H13" s="8" t="s">
        <v>20</v>
      </c>
      <c r="I13" s="8" t="s">
        <v>21</v>
      </c>
      <c r="J13" s="8"/>
      <c r="K13" s="8"/>
      <c r="L13" s="11">
        <v>7.7</v>
      </c>
      <c r="M13" s="11">
        <v>7.5</v>
      </c>
      <c r="N13" s="11">
        <v>9.1</v>
      </c>
      <c r="O13" s="11">
        <f>L13*4</f>
        <v>30.8</v>
      </c>
      <c r="P13" s="11">
        <f>M13*4</f>
        <v>30</v>
      </c>
      <c r="Q13" s="11">
        <f>N13*4</f>
        <v>36.4</v>
      </c>
      <c r="R13" s="12">
        <f>(4/3)*3.14*(Q13/2)^3</f>
        <v>25239.604693333331</v>
      </c>
      <c r="S13" s="12">
        <f>R13/1000</f>
        <v>25.23960469333333</v>
      </c>
    </row>
    <row r="14" spans="1:19" x14ac:dyDescent="0.25">
      <c r="A14" s="7">
        <v>13</v>
      </c>
      <c r="B14" s="8" t="s">
        <v>17</v>
      </c>
      <c r="C14" s="8" t="s">
        <v>180</v>
      </c>
      <c r="D14" s="7" t="s">
        <v>697</v>
      </c>
      <c r="E14" s="8" t="s">
        <v>744</v>
      </c>
      <c r="F14" s="9">
        <v>4</v>
      </c>
      <c r="G14" s="10" t="s">
        <v>25</v>
      </c>
      <c r="H14" s="8" t="s">
        <v>181</v>
      </c>
      <c r="I14" s="8" t="s">
        <v>155</v>
      </c>
      <c r="J14" s="8" t="s">
        <v>22</v>
      </c>
      <c r="K14" s="8"/>
      <c r="L14" s="11">
        <v>6.7</v>
      </c>
      <c r="M14" s="11">
        <v>4</v>
      </c>
      <c r="N14" s="11">
        <v>5.3</v>
      </c>
      <c r="O14" s="11">
        <f>L14*4</f>
        <v>26.8</v>
      </c>
      <c r="P14" s="11">
        <f>M14*4</f>
        <v>16</v>
      </c>
      <c r="Q14" s="11">
        <f>N14*4</f>
        <v>21.2</v>
      </c>
      <c r="R14" s="12">
        <f>2/3*3.14*(Q14/2)^3</f>
        <v>2493.1934933333328</v>
      </c>
      <c r="S14" s="12">
        <f>R14/1000</f>
        <v>2.4931934933333326</v>
      </c>
    </row>
    <row r="15" spans="1:19" x14ac:dyDescent="0.25">
      <c r="A15" s="7">
        <v>14</v>
      </c>
      <c r="B15" s="8" t="s">
        <v>17</v>
      </c>
      <c r="C15" s="8" t="s">
        <v>182</v>
      </c>
      <c r="D15" s="7" t="s">
        <v>697</v>
      </c>
      <c r="E15" s="8" t="s">
        <v>744</v>
      </c>
      <c r="F15" s="9">
        <v>4</v>
      </c>
      <c r="G15" s="10" t="s">
        <v>33</v>
      </c>
      <c r="H15" s="8" t="s">
        <v>154</v>
      </c>
      <c r="I15" s="8" t="s">
        <v>155</v>
      </c>
      <c r="J15" s="8" t="s">
        <v>22</v>
      </c>
      <c r="K15" s="8"/>
      <c r="L15" s="11">
        <v>9.9</v>
      </c>
      <c r="M15" s="11">
        <v>8.4</v>
      </c>
      <c r="N15" s="11">
        <v>10.199999999999999</v>
      </c>
      <c r="O15" s="11">
        <f>L15*4</f>
        <v>39.6</v>
      </c>
      <c r="P15" s="11">
        <f>M15*4</f>
        <v>33.6</v>
      </c>
      <c r="Q15" s="11">
        <f>N15*4</f>
        <v>40.799999999999997</v>
      </c>
      <c r="R15" s="12">
        <f>2/3*3.14*(Q15/2)^3</f>
        <v>17771.696639999998</v>
      </c>
      <c r="S15" s="12">
        <f>R15/1000</f>
        <v>17.771696639999998</v>
      </c>
    </row>
    <row r="16" spans="1:19" x14ac:dyDescent="0.25">
      <c r="A16" s="7">
        <v>15</v>
      </c>
      <c r="B16" s="8" t="s">
        <v>17</v>
      </c>
      <c r="C16" s="8" t="s">
        <v>293</v>
      </c>
      <c r="D16" s="7" t="s">
        <v>697</v>
      </c>
      <c r="E16" s="8" t="s">
        <v>744</v>
      </c>
      <c r="F16" s="9">
        <v>5</v>
      </c>
      <c r="G16" s="10" t="s">
        <v>33</v>
      </c>
      <c r="H16" s="8" t="s">
        <v>294</v>
      </c>
      <c r="I16" s="8" t="s">
        <v>295</v>
      </c>
      <c r="J16" s="8"/>
      <c r="K16" s="8"/>
      <c r="L16" s="11">
        <v>5.4</v>
      </c>
      <c r="M16" s="11">
        <v>10.1</v>
      </c>
      <c r="N16" s="11">
        <v>9.6999999999999993</v>
      </c>
      <c r="O16" s="11">
        <f>L16*4</f>
        <v>21.6</v>
      </c>
      <c r="P16" s="11">
        <f>M16*4</f>
        <v>40.4</v>
      </c>
      <c r="Q16" s="11">
        <f>N16*4</f>
        <v>38.799999999999997</v>
      </c>
      <c r="R16" s="12">
        <f>(4/3)*3.14*(Q16/2)^3</f>
        <v>30568.461013333326</v>
      </c>
      <c r="S16" s="12">
        <f>R16/1000</f>
        <v>30.568461013333327</v>
      </c>
    </row>
    <row r="17" spans="1:19" x14ac:dyDescent="0.25">
      <c r="A17" s="7">
        <v>16</v>
      </c>
      <c r="B17" s="8" t="s">
        <v>17</v>
      </c>
      <c r="C17" s="8" t="s">
        <v>296</v>
      </c>
      <c r="D17" s="7" t="s">
        <v>698</v>
      </c>
      <c r="E17" s="8" t="s">
        <v>744</v>
      </c>
      <c r="F17" s="9">
        <v>5</v>
      </c>
      <c r="G17" s="10" t="s">
        <v>25</v>
      </c>
      <c r="H17" s="8" t="s">
        <v>20</v>
      </c>
      <c r="I17" s="8" t="s">
        <v>21</v>
      </c>
      <c r="J17" s="8" t="s">
        <v>22</v>
      </c>
      <c r="K17" s="8"/>
      <c r="L17" s="11">
        <v>2.1</v>
      </c>
      <c r="M17" s="11">
        <v>3.2</v>
      </c>
      <c r="N17" s="11">
        <v>3.8</v>
      </c>
      <c r="O17" s="11">
        <f>L17*4</f>
        <v>8.4</v>
      </c>
      <c r="P17" s="11">
        <f>M17*4</f>
        <v>12.8</v>
      </c>
      <c r="Q17" s="11">
        <f>N17*4</f>
        <v>15.2</v>
      </c>
      <c r="R17" s="12">
        <f>(4/3)*3.14*(Q17/2)^3</f>
        <v>1837.8461866666664</v>
      </c>
      <c r="S17" s="12">
        <f>R17/1000</f>
        <v>1.8378461866666664</v>
      </c>
    </row>
    <row r="18" spans="1:19" x14ac:dyDescent="0.25">
      <c r="A18" s="7">
        <v>17</v>
      </c>
      <c r="B18" s="8" t="s">
        <v>17</v>
      </c>
      <c r="C18" s="8" t="s">
        <v>297</v>
      </c>
      <c r="D18" s="7" t="s">
        <v>698</v>
      </c>
      <c r="E18" s="8" t="s">
        <v>744</v>
      </c>
      <c r="F18" s="9">
        <v>5</v>
      </c>
      <c r="G18" s="10" t="s">
        <v>25</v>
      </c>
      <c r="H18" s="8" t="s">
        <v>294</v>
      </c>
      <c r="I18" s="8" t="s">
        <v>295</v>
      </c>
      <c r="J18" s="8" t="s">
        <v>22</v>
      </c>
      <c r="K18" s="8"/>
      <c r="L18" s="11">
        <v>2.1</v>
      </c>
      <c r="M18" s="11">
        <v>4</v>
      </c>
      <c r="N18" s="11">
        <v>4.2</v>
      </c>
      <c r="O18" s="11">
        <f>L18*4</f>
        <v>8.4</v>
      </c>
      <c r="P18" s="11">
        <f>M18*4</f>
        <v>16</v>
      </c>
      <c r="Q18" s="11">
        <f>N18*4</f>
        <v>16.8</v>
      </c>
      <c r="R18" s="12">
        <f>(4/3)*3.14*(Q18/2)^3</f>
        <v>2481.45408</v>
      </c>
      <c r="S18" s="12">
        <f>R18/1000</f>
        <v>2.4814540799999998</v>
      </c>
    </row>
    <row r="19" spans="1:19" x14ac:dyDescent="0.25">
      <c r="A19" s="7">
        <v>18</v>
      </c>
      <c r="B19" s="8" t="s">
        <v>17</v>
      </c>
      <c r="C19" s="8" t="s">
        <v>298</v>
      </c>
      <c r="D19" s="7" t="s">
        <v>698</v>
      </c>
      <c r="E19" s="8" t="s">
        <v>744</v>
      </c>
      <c r="F19" s="9">
        <v>5</v>
      </c>
      <c r="G19" s="10" t="s">
        <v>25</v>
      </c>
      <c r="H19" s="8" t="s">
        <v>20</v>
      </c>
      <c r="I19" s="8" t="s">
        <v>21</v>
      </c>
      <c r="J19" s="8" t="s">
        <v>22</v>
      </c>
      <c r="K19" s="8"/>
      <c r="L19" s="11">
        <v>2</v>
      </c>
      <c r="M19" s="11">
        <v>2.5</v>
      </c>
      <c r="N19" s="11">
        <v>3.2</v>
      </c>
      <c r="O19" s="11">
        <f>L19*4</f>
        <v>8</v>
      </c>
      <c r="P19" s="11">
        <f>M19*4</f>
        <v>10</v>
      </c>
      <c r="Q19" s="11">
        <f>N19*4</f>
        <v>12.8</v>
      </c>
      <c r="R19" s="12">
        <f>(4/3)*3.14*(Q19/2)^3</f>
        <v>1097.5095466666669</v>
      </c>
      <c r="S19" s="12">
        <f>R19/1000</f>
        <v>1.0975095466666669</v>
      </c>
    </row>
    <row r="20" spans="1:19" x14ac:dyDescent="0.25">
      <c r="A20" s="7">
        <v>19</v>
      </c>
      <c r="B20" s="8" t="s">
        <v>17</v>
      </c>
      <c r="C20" s="8" t="s">
        <v>593</v>
      </c>
      <c r="D20" s="7" t="s">
        <v>698</v>
      </c>
      <c r="E20" s="8" t="s">
        <v>744</v>
      </c>
      <c r="F20" s="9">
        <v>9</v>
      </c>
      <c r="G20" s="10" t="s">
        <v>19</v>
      </c>
      <c r="H20" s="8" t="s">
        <v>20</v>
      </c>
      <c r="I20" s="8" t="s">
        <v>21</v>
      </c>
      <c r="J20" s="8" t="s">
        <v>22</v>
      </c>
      <c r="K20" s="8"/>
      <c r="L20" s="11">
        <v>2.5</v>
      </c>
      <c r="M20" s="11">
        <v>3.3</v>
      </c>
      <c r="N20" s="11">
        <v>3</v>
      </c>
      <c r="O20" s="11">
        <f>L20*4</f>
        <v>10</v>
      </c>
      <c r="P20" s="11">
        <f>M20*4</f>
        <v>13.2</v>
      </c>
      <c r="Q20" s="11">
        <f>N20*4</f>
        <v>12</v>
      </c>
      <c r="R20" s="12">
        <f>4/3*3.14*(Q20/2)*(Q20/2)*(P20/2)</f>
        <v>994.75199999999973</v>
      </c>
      <c r="S20" s="12">
        <f>R20/1000</f>
        <v>0.99475199999999975</v>
      </c>
    </row>
    <row r="21" spans="1:19" x14ac:dyDescent="0.25">
      <c r="A21" s="7">
        <v>20</v>
      </c>
      <c r="B21" s="8" t="s">
        <v>17</v>
      </c>
      <c r="C21" s="8" t="s">
        <v>183</v>
      </c>
      <c r="D21" s="7" t="s">
        <v>698</v>
      </c>
      <c r="E21" s="8" t="s">
        <v>744</v>
      </c>
      <c r="F21" s="9">
        <v>4</v>
      </c>
      <c r="G21" s="10" t="s">
        <v>33</v>
      </c>
      <c r="H21" s="8" t="s">
        <v>100</v>
      </c>
      <c r="I21" s="8" t="s">
        <v>21</v>
      </c>
      <c r="J21" s="8" t="s">
        <v>22</v>
      </c>
      <c r="K21" s="8"/>
      <c r="L21" s="11">
        <v>8.1</v>
      </c>
      <c r="M21" s="11">
        <v>8.5</v>
      </c>
      <c r="N21" s="11">
        <v>9.6999999999999993</v>
      </c>
      <c r="O21" s="11">
        <f>L21*4</f>
        <v>32.4</v>
      </c>
      <c r="P21" s="11">
        <f>M21*4</f>
        <v>34</v>
      </c>
      <c r="Q21" s="11">
        <f>N21*4</f>
        <v>38.799999999999997</v>
      </c>
      <c r="R21" s="12">
        <f>2/3*3.14*(Q21/2)^3</f>
        <v>15284.230506666663</v>
      </c>
      <c r="S21" s="12">
        <f>R21/1000</f>
        <v>15.284230506666663</v>
      </c>
    </row>
    <row r="22" spans="1:19" x14ac:dyDescent="0.25">
      <c r="A22" s="7">
        <v>21</v>
      </c>
      <c r="B22" s="8" t="s">
        <v>17</v>
      </c>
      <c r="C22" s="8" t="s">
        <v>80</v>
      </c>
      <c r="D22" s="7" t="s">
        <v>698</v>
      </c>
      <c r="E22" s="8" t="s">
        <v>744</v>
      </c>
      <c r="F22" s="9">
        <v>2</v>
      </c>
      <c r="G22" s="10" t="s">
        <v>33</v>
      </c>
      <c r="H22" s="8" t="s">
        <v>20</v>
      </c>
      <c r="I22" s="8" t="s">
        <v>21</v>
      </c>
      <c r="J22" s="8" t="s">
        <v>22</v>
      </c>
      <c r="K22" s="8"/>
      <c r="L22" s="11">
        <v>10.8</v>
      </c>
      <c r="M22" s="11">
        <v>4.0999999999999996</v>
      </c>
      <c r="N22" s="11">
        <v>10.8</v>
      </c>
      <c r="O22" s="11">
        <f>L22*4</f>
        <v>43.2</v>
      </c>
      <c r="P22" s="11">
        <f>M22*4</f>
        <v>16.399999999999999</v>
      </c>
      <c r="Q22" s="11">
        <f>N22*4</f>
        <v>43.2</v>
      </c>
      <c r="R22" s="12">
        <f>(1/3)*3.14*P22^2*(3*(Q22/2)-P22)</f>
        <v>13625.15498666667</v>
      </c>
      <c r="S22" s="12">
        <f>R22/1000</f>
        <v>13.62515498666667</v>
      </c>
    </row>
    <row r="23" spans="1:19" x14ac:dyDescent="0.25">
      <c r="A23" s="7">
        <v>22</v>
      </c>
      <c r="B23" s="8" t="s">
        <v>17</v>
      </c>
      <c r="C23" s="8" t="s">
        <v>18</v>
      </c>
      <c r="D23" s="7" t="s">
        <v>698</v>
      </c>
      <c r="E23" s="8" t="s">
        <v>744</v>
      </c>
      <c r="F23" s="9">
        <v>1</v>
      </c>
      <c r="G23" s="10" t="s">
        <v>19</v>
      </c>
      <c r="H23" s="8" t="s">
        <v>20</v>
      </c>
      <c r="I23" s="8" t="s">
        <v>21</v>
      </c>
      <c r="J23" s="8" t="s">
        <v>22</v>
      </c>
      <c r="K23" s="8"/>
      <c r="L23" s="11">
        <v>2.5</v>
      </c>
      <c r="M23" s="11">
        <v>0.5</v>
      </c>
      <c r="N23" s="11">
        <v>2.5</v>
      </c>
      <c r="O23" s="11">
        <f>L23*4</f>
        <v>10</v>
      </c>
      <c r="P23" s="11">
        <f>M23*4</f>
        <v>2</v>
      </c>
      <c r="Q23" s="11">
        <f>N23*4</f>
        <v>10</v>
      </c>
      <c r="R23" s="12">
        <f>(1/3)*3.14*P23^2*(3*(Q23/2)-P23)</f>
        <v>54.426666666666662</v>
      </c>
      <c r="S23" s="12">
        <f>R23/1000</f>
        <v>5.4426666666666665E-2</v>
      </c>
    </row>
    <row r="24" spans="1:19" x14ac:dyDescent="0.25">
      <c r="A24" s="7">
        <v>23</v>
      </c>
      <c r="B24" s="8" t="s">
        <v>17</v>
      </c>
      <c r="C24" s="8" t="s">
        <v>151</v>
      </c>
      <c r="D24" s="7" t="s">
        <v>698</v>
      </c>
      <c r="E24" s="8" t="s">
        <v>744</v>
      </c>
      <c r="F24" s="9">
        <v>3</v>
      </c>
      <c r="G24" s="10" t="s">
        <v>19</v>
      </c>
      <c r="H24" s="8" t="s">
        <v>20</v>
      </c>
      <c r="I24" s="8" t="s">
        <v>21</v>
      </c>
      <c r="J24" s="8" t="s">
        <v>22</v>
      </c>
      <c r="K24" s="8"/>
      <c r="L24" s="11">
        <v>3.7</v>
      </c>
      <c r="M24" s="11">
        <v>1.1000000000000001</v>
      </c>
      <c r="N24" s="11">
        <v>4.4000000000000004</v>
      </c>
      <c r="O24" s="11">
        <f>L24*4</f>
        <v>14.8</v>
      </c>
      <c r="P24" s="11">
        <f>M24*4</f>
        <v>4.4000000000000004</v>
      </c>
      <c r="Q24" s="11">
        <f>N24*4</f>
        <v>17.600000000000001</v>
      </c>
      <c r="R24" s="12">
        <f>4/3*3.14*(Q24/2)*(Q24/2)*(P24/2)</f>
        <v>713.27402666666683</v>
      </c>
      <c r="S24" s="12">
        <f>R24/1000</f>
        <v>0.71327402666666684</v>
      </c>
    </row>
    <row r="25" spans="1:19" x14ac:dyDescent="0.25">
      <c r="A25" s="7">
        <v>24</v>
      </c>
      <c r="B25" s="8" t="s">
        <v>17</v>
      </c>
      <c r="C25" s="8" t="s">
        <v>543</v>
      </c>
      <c r="D25" s="7" t="s">
        <v>698</v>
      </c>
      <c r="E25" s="8" t="s">
        <v>744</v>
      </c>
      <c r="F25" s="9">
        <v>8</v>
      </c>
      <c r="G25" s="10" t="s">
        <v>19</v>
      </c>
      <c r="H25" s="8" t="s">
        <v>20</v>
      </c>
      <c r="I25" s="8" t="s">
        <v>21</v>
      </c>
      <c r="J25" s="8" t="s">
        <v>22</v>
      </c>
      <c r="K25" s="8"/>
      <c r="L25" s="11">
        <v>3.3</v>
      </c>
      <c r="M25" s="11">
        <v>1.2</v>
      </c>
      <c r="N25" s="11">
        <v>4.2</v>
      </c>
      <c r="O25" s="11">
        <f>L25*4</f>
        <v>13.2</v>
      </c>
      <c r="P25" s="11">
        <f>M25*4</f>
        <v>4.8</v>
      </c>
      <c r="Q25" s="11">
        <f>N25*4</f>
        <v>16.8</v>
      </c>
      <c r="R25" s="12">
        <f>4/3*3.14*(Q25/2)*(Q25/2)*(P25/2)</f>
        <v>708.98688000000004</v>
      </c>
      <c r="S25" s="12">
        <f>R25/1000</f>
        <v>0.7089868800000001</v>
      </c>
    </row>
    <row r="26" spans="1:19" x14ac:dyDescent="0.25">
      <c r="A26" s="7">
        <v>25</v>
      </c>
      <c r="B26" s="8" t="s">
        <v>17</v>
      </c>
      <c r="C26" s="8" t="s">
        <v>582</v>
      </c>
      <c r="D26" s="7" t="s">
        <v>698</v>
      </c>
      <c r="E26" s="8" t="s">
        <v>744</v>
      </c>
      <c r="F26" s="9">
        <v>8</v>
      </c>
      <c r="G26" s="10" t="s">
        <v>19</v>
      </c>
      <c r="H26" s="8" t="s">
        <v>20</v>
      </c>
      <c r="I26" s="8" t="s">
        <v>21</v>
      </c>
      <c r="J26" s="8" t="s">
        <v>22</v>
      </c>
      <c r="K26" s="8"/>
      <c r="L26" s="11">
        <v>1.9</v>
      </c>
      <c r="M26" s="11">
        <v>1.4</v>
      </c>
      <c r="N26" s="11">
        <v>3.2</v>
      </c>
      <c r="O26" s="11">
        <f>L26*4</f>
        <v>7.6</v>
      </c>
      <c r="P26" s="11">
        <f>M26*4</f>
        <v>5.6</v>
      </c>
      <c r="Q26" s="11">
        <f>N26*4</f>
        <v>12.8</v>
      </c>
      <c r="R26" s="12">
        <f>4/3*3.14*(Q26/2)*(Q26/2)*(P26/2)</f>
        <v>480.16042666666669</v>
      </c>
      <c r="S26" s="12">
        <f>R26/1000</f>
        <v>0.4801604266666667</v>
      </c>
    </row>
    <row r="27" spans="1:19" x14ac:dyDescent="0.25">
      <c r="A27" s="7">
        <v>26</v>
      </c>
      <c r="B27" s="8" t="s">
        <v>17</v>
      </c>
      <c r="C27" s="8" t="s">
        <v>583</v>
      </c>
      <c r="D27" s="7" t="s">
        <v>698</v>
      </c>
      <c r="E27" s="8" t="s">
        <v>744</v>
      </c>
      <c r="F27" s="9">
        <v>8</v>
      </c>
      <c r="G27" s="10" t="s">
        <v>25</v>
      </c>
      <c r="H27" s="8" t="s">
        <v>20</v>
      </c>
      <c r="I27" s="8" t="s">
        <v>21</v>
      </c>
      <c r="J27" s="8" t="s">
        <v>22</v>
      </c>
      <c r="K27" s="8"/>
      <c r="L27" s="11">
        <v>3.7</v>
      </c>
      <c r="M27" s="11">
        <v>2.1</v>
      </c>
      <c r="N27" s="11">
        <v>4.9000000000000004</v>
      </c>
      <c r="O27" s="11">
        <f>L27*4</f>
        <v>14.8</v>
      </c>
      <c r="P27" s="11">
        <f>M27*4</f>
        <v>8.4</v>
      </c>
      <c r="Q27" s="11">
        <f>N27*4</f>
        <v>19.600000000000001</v>
      </c>
      <c r="R27" s="12">
        <f>4/3*3.14*(Q27/2)*(Q27/2)*(P27/2)</f>
        <v>1688.7673600000001</v>
      </c>
      <c r="S27" s="12">
        <f>R27/1000</f>
        <v>1.6887673600000002</v>
      </c>
    </row>
    <row r="28" spans="1:19" x14ac:dyDescent="0.25">
      <c r="A28" s="7">
        <v>27</v>
      </c>
      <c r="B28" s="8" t="s">
        <v>17</v>
      </c>
      <c r="C28" s="8" t="s">
        <v>299</v>
      </c>
      <c r="D28" s="7" t="s">
        <v>698</v>
      </c>
      <c r="E28" s="8" t="s">
        <v>744</v>
      </c>
      <c r="F28" s="9">
        <v>5</v>
      </c>
      <c r="G28" s="10" t="s">
        <v>33</v>
      </c>
      <c r="H28" s="8" t="s">
        <v>86</v>
      </c>
      <c r="I28" s="8" t="s">
        <v>86</v>
      </c>
      <c r="J28" s="8"/>
      <c r="K28" s="8"/>
      <c r="L28" s="11">
        <v>7.3</v>
      </c>
      <c r="M28" s="11">
        <v>9.5</v>
      </c>
      <c r="N28" s="11">
        <v>9.6999999999999993</v>
      </c>
      <c r="O28" s="11">
        <f>L28*4</f>
        <v>29.2</v>
      </c>
      <c r="P28" s="11">
        <f>M28*4</f>
        <v>38</v>
      </c>
      <c r="Q28" s="11">
        <f>N28*4</f>
        <v>38.799999999999997</v>
      </c>
      <c r="R28" s="12">
        <f>(4/3)*3.14*(Q28/2)^3</f>
        <v>30568.461013333326</v>
      </c>
      <c r="S28" s="12">
        <f>R28/1000</f>
        <v>30.568461013333327</v>
      </c>
    </row>
    <row r="29" spans="1:19" x14ac:dyDescent="0.25">
      <c r="A29" s="7">
        <v>28</v>
      </c>
      <c r="B29" s="8" t="s">
        <v>17</v>
      </c>
      <c r="C29" s="8" t="s">
        <v>300</v>
      </c>
      <c r="D29" s="7" t="s">
        <v>698</v>
      </c>
      <c r="E29" s="8" t="s">
        <v>744</v>
      </c>
      <c r="F29" s="9">
        <v>5</v>
      </c>
      <c r="G29" s="10" t="s">
        <v>33</v>
      </c>
      <c r="H29" s="8" t="s">
        <v>154</v>
      </c>
      <c r="I29" s="8" t="s">
        <v>155</v>
      </c>
      <c r="J29" s="8" t="s">
        <v>22</v>
      </c>
      <c r="K29" s="8"/>
      <c r="L29" s="11">
        <v>6.4</v>
      </c>
      <c r="M29" s="11">
        <v>6.7</v>
      </c>
      <c r="N29" s="11">
        <v>7.9</v>
      </c>
      <c r="O29" s="11">
        <f>L29*4</f>
        <v>25.6</v>
      </c>
      <c r="P29" s="11">
        <f>M29*4</f>
        <v>26.8</v>
      </c>
      <c r="Q29" s="11">
        <f>N29*4</f>
        <v>31.6</v>
      </c>
      <c r="R29" s="12">
        <f>(4/3)*3.14*(Q29/2)^3</f>
        <v>16513.519573333335</v>
      </c>
      <c r="S29" s="12">
        <f>R29/1000</f>
        <v>16.513519573333333</v>
      </c>
    </row>
    <row r="30" spans="1:19" x14ac:dyDescent="0.25">
      <c r="A30" s="7">
        <v>29</v>
      </c>
      <c r="B30" s="8" t="s">
        <v>17</v>
      </c>
      <c r="C30" s="8" t="s">
        <v>301</v>
      </c>
      <c r="D30" s="7" t="s">
        <v>698</v>
      </c>
      <c r="E30" s="8" t="s">
        <v>744</v>
      </c>
      <c r="F30" s="9">
        <v>5</v>
      </c>
      <c r="G30" s="10" t="s">
        <v>33</v>
      </c>
      <c r="H30" s="8" t="s">
        <v>86</v>
      </c>
      <c r="I30" s="8" t="s">
        <v>86</v>
      </c>
      <c r="J30" s="8" t="s">
        <v>22</v>
      </c>
      <c r="K30" s="8"/>
      <c r="L30" s="11">
        <v>7.9</v>
      </c>
      <c r="M30" s="11">
        <v>9.1</v>
      </c>
      <c r="N30" s="11">
        <v>9.9</v>
      </c>
      <c r="O30" s="11">
        <f>L30*4</f>
        <v>31.6</v>
      </c>
      <c r="P30" s="11">
        <f>M30*4</f>
        <v>36.4</v>
      </c>
      <c r="Q30" s="11">
        <f>N30*4</f>
        <v>39.6</v>
      </c>
      <c r="R30" s="12">
        <f>(4/3)*3.14*(Q30/2)^3</f>
        <v>32498.547840000003</v>
      </c>
      <c r="S30" s="12">
        <f>R30/1000</f>
        <v>32.498547840000001</v>
      </c>
    </row>
    <row r="31" spans="1:19" x14ac:dyDescent="0.25">
      <c r="A31" s="7">
        <v>30</v>
      </c>
      <c r="B31" s="8" t="s">
        <v>17</v>
      </c>
      <c r="C31" s="8" t="s">
        <v>302</v>
      </c>
      <c r="D31" s="7" t="s">
        <v>698</v>
      </c>
      <c r="E31" s="8" t="s">
        <v>744</v>
      </c>
      <c r="F31" s="9">
        <v>5</v>
      </c>
      <c r="G31" s="10" t="s">
        <v>42</v>
      </c>
      <c r="H31" s="8" t="s">
        <v>294</v>
      </c>
      <c r="I31" s="8" t="s">
        <v>295</v>
      </c>
      <c r="J31" s="8" t="s">
        <v>22</v>
      </c>
      <c r="K31" s="8"/>
      <c r="L31" s="11">
        <v>11.8</v>
      </c>
      <c r="M31" s="11">
        <v>12.1</v>
      </c>
      <c r="N31" s="11">
        <v>14.6</v>
      </c>
      <c r="O31" s="11">
        <f>L31*4</f>
        <v>47.2</v>
      </c>
      <c r="P31" s="11">
        <f>M31*4</f>
        <v>48.4</v>
      </c>
      <c r="Q31" s="11">
        <f>N31*4</f>
        <v>58.4</v>
      </c>
      <c r="R31" s="12">
        <f>(4/3)*3.14*(Q31/2)^3</f>
        <v>104235.80842666666</v>
      </c>
      <c r="S31" s="12">
        <f>R31/1000</f>
        <v>104.23580842666665</v>
      </c>
    </row>
    <row r="32" spans="1:19" x14ac:dyDescent="0.25">
      <c r="A32" s="7">
        <v>31</v>
      </c>
      <c r="B32" s="8" t="s">
        <v>17</v>
      </c>
      <c r="C32" s="8" t="s">
        <v>303</v>
      </c>
      <c r="D32" s="7" t="s">
        <v>698</v>
      </c>
      <c r="E32" s="8" t="s">
        <v>744</v>
      </c>
      <c r="F32" s="9">
        <v>5</v>
      </c>
      <c r="G32" s="10" t="s">
        <v>19</v>
      </c>
      <c r="H32" s="8" t="s">
        <v>154</v>
      </c>
      <c r="I32" s="8" t="s">
        <v>155</v>
      </c>
      <c r="J32" s="8" t="s">
        <v>22</v>
      </c>
      <c r="K32" s="8"/>
      <c r="L32" s="11">
        <v>2.2000000000000002</v>
      </c>
      <c r="M32" s="11">
        <v>2.9</v>
      </c>
      <c r="N32" s="11">
        <v>3</v>
      </c>
      <c r="O32" s="11">
        <f>L32*4</f>
        <v>8.8000000000000007</v>
      </c>
      <c r="P32" s="11">
        <f>M32*4</f>
        <v>11.6</v>
      </c>
      <c r="Q32" s="11">
        <f>N32*4</f>
        <v>12</v>
      </c>
      <c r="R32" s="12">
        <f>(4/3)*3.14*(Q32/2)^3</f>
        <v>904.31999999999994</v>
      </c>
      <c r="S32" s="12">
        <f>R32/1000</f>
        <v>0.9043199999999999</v>
      </c>
    </row>
    <row r="33" spans="1:19" x14ac:dyDescent="0.25">
      <c r="A33" s="7">
        <v>32</v>
      </c>
      <c r="B33" s="8" t="s">
        <v>17</v>
      </c>
      <c r="C33" s="8" t="s">
        <v>304</v>
      </c>
      <c r="D33" s="7" t="s">
        <v>698</v>
      </c>
      <c r="E33" s="8" t="s">
        <v>744</v>
      </c>
      <c r="F33" s="9">
        <v>5</v>
      </c>
      <c r="G33" s="10" t="s">
        <v>33</v>
      </c>
      <c r="H33" s="8" t="s">
        <v>181</v>
      </c>
      <c r="I33" s="8" t="s">
        <v>155</v>
      </c>
      <c r="J33" s="8" t="s">
        <v>22</v>
      </c>
      <c r="K33" s="8"/>
      <c r="L33" s="11">
        <v>3.9</v>
      </c>
      <c r="M33" s="11">
        <v>4.4000000000000004</v>
      </c>
      <c r="N33" s="11">
        <v>5.8</v>
      </c>
      <c r="O33" s="11">
        <f>L33*4</f>
        <v>15.6</v>
      </c>
      <c r="P33" s="11">
        <f>M33*4</f>
        <v>17.600000000000001</v>
      </c>
      <c r="Q33" s="11">
        <f>N33*4</f>
        <v>23.2</v>
      </c>
      <c r="R33" s="12">
        <f>(4/3)*3.14*(Q33/2)^3</f>
        <v>6534.9512533333327</v>
      </c>
      <c r="S33" s="12">
        <f>R33/1000</f>
        <v>6.5349512533333325</v>
      </c>
    </row>
    <row r="34" spans="1:19" x14ac:dyDescent="0.25">
      <c r="A34" s="7">
        <v>33</v>
      </c>
      <c r="B34" s="8" t="s">
        <v>17</v>
      </c>
      <c r="C34" s="8" t="s">
        <v>184</v>
      </c>
      <c r="D34" s="7" t="s">
        <v>698</v>
      </c>
      <c r="E34" s="8" t="s">
        <v>744</v>
      </c>
      <c r="F34" s="9">
        <v>4</v>
      </c>
      <c r="G34" s="10" t="s">
        <v>25</v>
      </c>
      <c r="H34" s="8" t="s">
        <v>154</v>
      </c>
      <c r="I34" s="8" t="s">
        <v>155</v>
      </c>
      <c r="J34" s="8" t="s">
        <v>22</v>
      </c>
      <c r="K34" s="8"/>
      <c r="L34" s="11">
        <v>5.2</v>
      </c>
      <c r="M34" s="11">
        <v>3</v>
      </c>
      <c r="N34" s="11">
        <v>5.2</v>
      </c>
      <c r="O34" s="11">
        <f>L34*4</f>
        <v>20.8</v>
      </c>
      <c r="P34" s="11">
        <f>M34*4</f>
        <v>12</v>
      </c>
      <c r="Q34" s="11">
        <f>N34*4</f>
        <v>20.8</v>
      </c>
      <c r="R34" s="12">
        <f>2/3*3.14*(Q34/2)^3</f>
        <v>2354.7153066666669</v>
      </c>
      <c r="S34" s="12">
        <f>R34/1000</f>
        <v>2.3547153066666668</v>
      </c>
    </row>
    <row r="35" spans="1:19" x14ac:dyDescent="0.25">
      <c r="A35" s="7">
        <v>34</v>
      </c>
      <c r="B35" s="8" t="s">
        <v>17</v>
      </c>
      <c r="C35" s="8" t="s">
        <v>305</v>
      </c>
      <c r="D35" s="7" t="s">
        <v>698</v>
      </c>
      <c r="E35" s="8" t="s">
        <v>744</v>
      </c>
      <c r="F35" s="9">
        <v>5</v>
      </c>
      <c r="G35" s="10" t="s">
        <v>33</v>
      </c>
      <c r="H35" s="8" t="s">
        <v>181</v>
      </c>
      <c r="I35" s="8" t="s">
        <v>155</v>
      </c>
      <c r="J35" s="8" t="s">
        <v>22</v>
      </c>
      <c r="K35" s="8"/>
      <c r="L35" s="11">
        <v>4.7</v>
      </c>
      <c r="M35" s="11">
        <v>6.4</v>
      </c>
      <c r="N35" s="11">
        <v>7.6</v>
      </c>
      <c r="O35" s="11">
        <f>L35*4</f>
        <v>18.8</v>
      </c>
      <c r="P35" s="11">
        <f>M35*4</f>
        <v>25.6</v>
      </c>
      <c r="Q35" s="11">
        <f>N35*4</f>
        <v>30.4</v>
      </c>
      <c r="R35" s="12">
        <f>(4/3)*3.14*(Q35/2)^3</f>
        <v>14702.769493333331</v>
      </c>
      <c r="S35" s="12">
        <f>R35/1000</f>
        <v>14.702769493333331</v>
      </c>
    </row>
    <row r="36" spans="1:19" x14ac:dyDescent="0.25">
      <c r="A36" s="7">
        <v>35</v>
      </c>
      <c r="B36" s="8" t="s">
        <v>17</v>
      </c>
      <c r="C36" s="8" t="s">
        <v>306</v>
      </c>
      <c r="D36" s="7" t="s">
        <v>698</v>
      </c>
      <c r="E36" s="8" t="s">
        <v>744</v>
      </c>
      <c r="F36" s="9">
        <v>5</v>
      </c>
      <c r="G36" s="10" t="s">
        <v>33</v>
      </c>
      <c r="H36" s="8" t="s">
        <v>154</v>
      </c>
      <c r="I36" s="8" t="s">
        <v>155</v>
      </c>
      <c r="J36" s="8" t="s">
        <v>22</v>
      </c>
      <c r="K36" s="8"/>
      <c r="L36" s="11">
        <v>5.5</v>
      </c>
      <c r="M36" s="11">
        <v>7.4</v>
      </c>
      <c r="N36" s="11">
        <v>7.4</v>
      </c>
      <c r="O36" s="11">
        <f>L36*4</f>
        <v>22</v>
      </c>
      <c r="P36" s="11">
        <f>M36*4</f>
        <v>29.6</v>
      </c>
      <c r="Q36" s="11">
        <f>N36*4</f>
        <v>29.6</v>
      </c>
      <c r="R36" s="12">
        <f>(4/3)*3.14*(Q36/2)^3</f>
        <v>13572.302506666669</v>
      </c>
      <c r="S36" s="12">
        <f>R36/1000</f>
        <v>13.572302506666668</v>
      </c>
    </row>
    <row r="37" spans="1:19" x14ac:dyDescent="0.25">
      <c r="A37" s="7">
        <v>36</v>
      </c>
      <c r="B37" s="8" t="s">
        <v>17</v>
      </c>
      <c r="C37" s="8" t="s">
        <v>509</v>
      </c>
      <c r="D37" s="7" t="s">
        <v>698</v>
      </c>
      <c r="E37" s="8" t="s">
        <v>744</v>
      </c>
      <c r="F37" s="9">
        <v>6</v>
      </c>
      <c r="G37" s="10" t="s">
        <v>37</v>
      </c>
      <c r="H37" s="8" t="s">
        <v>154</v>
      </c>
      <c r="I37" s="8" t="s">
        <v>155</v>
      </c>
      <c r="J37" s="8"/>
      <c r="K37" s="8"/>
      <c r="L37" s="11">
        <v>7.8</v>
      </c>
      <c r="M37" s="11">
        <v>11.2</v>
      </c>
      <c r="N37" s="11">
        <v>12</v>
      </c>
      <c r="O37" s="11">
        <f>L37*4</f>
        <v>31.2</v>
      </c>
      <c r="P37" s="11">
        <f>M37*4</f>
        <v>44.8</v>
      </c>
      <c r="Q37" s="11">
        <f>N37*4</f>
        <v>48</v>
      </c>
      <c r="R37" s="12">
        <f>(4/3)*3.14*(Q37/2)^3</f>
        <v>57876.479999999996</v>
      </c>
      <c r="S37" s="12">
        <f>R37/1000</f>
        <v>57.876479999999994</v>
      </c>
    </row>
    <row r="38" spans="1:19" x14ac:dyDescent="0.25">
      <c r="A38" s="7">
        <v>37</v>
      </c>
      <c r="B38" s="8" t="s">
        <v>17</v>
      </c>
      <c r="C38" s="8" t="s">
        <v>510</v>
      </c>
      <c r="D38" s="7" t="s">
        <v>698</v>
      </c>
      <c r="E38" s="8" t="s">
        <v>744</v>
      </c>
      <c r="F38" s="9">
        <v>6</v>
      </c>
      <c r="G38" s="10" t="s">
        <v>33</v>
      </c>
      <c r="H38" s="8" t="s">
        <v>154</v>
      </c>
      <c r="I38" s="8" t="s">
        <v>155</v>
      </c>
      <c r="J38" s="8" t="s">
        <v>22</v>
      </c>
      <c r="K38" s="8"/>
      <c r="L38" s="11">
        <v>3.2</v>
      </c>
      <c r="M38" s="11">
        <v>9.6</v>
      </c>
      <c r="N38" s="11">
        <v>8.5</v>
      </c>
      <c r="O38" s="11">
        <f>L38*4</f>
        <v>12.8</v>
      </c>
      <c r="P38" s="11">
        <f>M38*4</f>
        <v>38.4</v>
      </c>
      <c r="Q38" s="11">
        <f>N38*4</f>
        <v>34</v>
      </c>
      <c r="R38" s="12">
        <f>(4/3)*3.14*(Q38/2)^3</f>
        <v>20569.093333333334</v>
      </c>
      <c r="S38" s="12">
        <f>R38/1000</f>
        <v>20.569093333333335</v>
      </c>
    </row>
    <row r="39" spans="1:19" x14ac:dyDescent="0.25">
      <c r="A39" s="7">
        <v>38</v>
      </c>
      <c r="B39" s="8" t="s">
        <v>17</v>
      </c>
      <c r="C39" s="8" t="s">
        <v>511</v>
      </c>
      <c r="D39" s="7" t="s">
        <v>698</v>
      </c>
      <c r="E39" s="8" t="s">
        <v>744</v>
      </c>
      <c r="F39" s="9">
        <v>6</v>
      </c>
      <c r="G39" s="10" t="s">
        <v>33</v>
      </c>
      <c r="H39" s="8" t="s">
        <v>154</v>
      </c>
      <c r="I39" s="8" t="s">
        <v>155</v>
      </c>
      <c r="J39" s="8" t="s">
        <v>22</v>
      </c>
      <c r="K39" s="8"/>
      <c r="L39" s="11">
        <v>3.5</v>
      </c>
      <c r="M39" s="11">
        <v>7.1</v>
      </c>
      <c r="N39" s="11">
        <v>6.8</v>
      </c>
      <c r="O39" s="11">
        <f>L39*4</f>
        <v>14</v>
      </c>
      <c r="P39" s="11">
        <f>M39*4</f>
        <v>28.4</v>
      </c>
      <c r="Q39" s="11">
        <f>N39*4</f>
        <v>27.2</v>
      </c>
      <c r="R39" s="12">
        <f>(4/3)*3.14*(Q39/2)^3</f>
        <v>10531.375786666666</v>
      </c>
      <c r="S39" s="12">
        <f>R39/1000</f>
        <v>10.531375786666665</v>
      </c>
    </row>
    <row r="40" spans="1:19" x14ac:dyDescent="0.25">
      <c r="A40" s="7">
        <v>39</v>
      </c>
      <c r="B40" s="8" t="s">
        <v>17</v>
      </c>
      <c r="C40" s="8" t="s">
        <v>307</v>
      </c>
      <c r="D40" s="7" t="s">
        <v>698</v>
      </c>
      <c r="E40" s="8" t="s">
        <v>744</v>
      </c>
      <c r="F40" s="9">
        <v>5</v>
      </c>
      <c r="G40" s="10" t="s">
        <v>33</v>
      </c>
      <c r="H40" s="8" t="s">
        <v>181</v>
      </c>
      <c r="I40" s="8" t="s">
        <v>155</v>
      </c>
      <c r="J40" s="8" t="s">
        <v>22</v>
      </c>
      <c r="K40" s="8"/>
      <c r="L40" s="11">
        <v>4.9000000000000004</v>
      </c>
      <c r="M40" s="11">
        <v>6</v>
      </c>
      <c r="N40" s="11">
        <v>6.7</v>
      </c>
      <c r="O40" s="11">
        <f>L40*4</f>
        <v>19.600000000000001</v>
      </c>
      <c r="P40" s="11">
        <f>M40*4</f>
        <v>24</v>
      </c>
      <c r="Q40" s="11">
        <f>N40*4</f>
        <v>26.8</v>
      </c>
      <c r="R40" s="12">
        <f>(4/3)*3.14*(Q40/2)^3</f>
        <v>10073.555413333333</v>
      </c>
      <c r="S40" s="12">
        <f>R40/1000</f>
        <v>10.073555413333333</v>
      </c>
    </row>
    <row r="41" spans="1:19" x14ac:dyDescent="0.25">
      <c r="A41" s="7">
        <v>40</v>
      </c>
      <c r="B41" s="8" t="s">
        <v>17</v>
      </c>
      <c r="C41" s="8" t="s">
        <v>308</v>
      </c>
      <c r="D41" s="7" t="s">
        <v>698</v>
      </c>
      <c r="E41" s="8" t="s">
        <v>744</v>
      </c>
      <c r="F41" s="9">
        <v>5</v>
      </c>
      <c r="G41" s="10" t="s">
        <v>33</v>
      </c>
      <c r="H41" s="8" t="s">
        <v>154</v>
      </c>
      <c r="I41" s="8" t="s">
        <v>155</v>
      </c>
      <c r="J41" s="8" t="s">
        <v>22</v>
      </c>
      <c r="K41" s="8"/>
      <c r="L41" s="11">
        <v>7.8</v>
      </c>
      <c r="M41" s="11">
        <v>8.8000000000000007</v>
      </c>
      <c r="N41" s="11">
        <v>10.1</v>
      </c>
      <c r="O41" s="11">
        <f>L41*4</f>
        <v>31.2</v>
      </c>
      <c r="P41" s="11">
        <f>M41*4</f>
        <v>35.200000000000003</v>
      </c>
      <c r="Q41" s="11">
        <f>N41*4</f>
        <v>40.4</v>
      </c>
      <c r="R41" s="12">
        <f>(4/3)*3.14*(Q41/2)^3</f>
        <v>34508.214826666663</v>
      </c>
      <c r="S41" s="12">
        <f>R41/1000</f>
        <v>34.508214826666659</v>
      </c>
    </row>
    <row r="42" spans="1:19" x14ac:dyDescent="0.25">
      <c r="A42" s="7">
        <v>41</v>
      </c>
      <c r="B42" s="8" t="s">
        <v>17</v>
      </c>
      <c r="C42" s="8" t="s">
        <v>309</v>
      </c>
      <c r="D42" s="7" t="s">
        <v>698</v>
      </c>
      <c r="E42" s="8" t="s">
        <v>744</v>
      </c>
      <c r="F42" s="9">
        <v>5</v>
      </c>
      <c r="G42" s="10" t="s">
        <v>33</v>
      </c>
      <c r="H42" s="8" t="s">
        <v>181</v>
      </c>
      <c r="I42" s="8" t="s">
        <v>155</v>
      </c>
      <c r="J42" s="8"/>
      <c r="K42" s="8"/>
      <c r="L42" s="11">
        <v>5.8</v>
      </c>
      <c r="M42" s="11">
        <v>7.2</v>
      </c>
      <c r="N42" s="11">
        <v>7.5</v>
      </c>
      <c r="O42" s="11">
        <f>L42*4</f>
        <v>23.2</v>
      </c>
      <c r="P42" s="11">
        <f>M42*4</f>
        <v>28.8</v>
      </c>
      <c r="Q42" s="11">
        <f>N42*4</f>
        <v>30</v>
      </c>
      <c r="R42" s="12">
        <f>(4/3)*3.14*(Q42/2)^3</f>
        <v>14130</v>
      </c>
      <c r="S42" s="12">
        <f>R42/1000</f>
        <v>14.13</v>
      </c>
    </row>
    <row r="43" spans="1:19" x14ac:dyDescent="0.25">
      <c r="A43" s="7">
        <v>42</v>
      </c>
      <c r="B43" s="8" t="s">
        <v>17</v>
      </c>
      <c r="C43" s="8" t="s">
        <v>310</v>
      </c>
      <c r="D43" s="7" t="s">
        <v>698</v>
      </c>
      <c r="E43" s="8" t="s">
        <v>744</v>
      </c>
      <c r="F43" s="9">
        <v>5</v>
      </c>
      <c r="G43" s="10" t="s">
        <v>33</v>
      </c>
      <c r="H43" s="8" t="s">
        <v>154</v>
      </c>
      <c r="I43" s="8" t="s">
        <v>155</v>
      </c>
      <c r="J43" s="8"/>
      <c r="K43" s="8"/>
      <c r="L43" s="11">
        <v>7.1</v>
      </c>
      <c r="M43" s="11">
        <v>8.6999999999999993</v>
      </c>
      <c r="N43" s="11">
        <v>9.3000000000000007</v>
      </c>
      <c r="O43" s="11">
        <f>L43*4</f>
        <v>28.4</v>
      </c>
      <c r="P43" s="11">
        <f>M43*4</f>
        <v>34.799999999999997</v>
      </c>
      <c r="Q43" s="11">
        <f>N43*4</f>
        <v>37.200000000000003</v>
      </c>
      <c r="R43" s="12">
        <f>(4/3)*3.14*(Q43/2)^3</f>
        <v>26940.597120000006</v>
      </c>
      <c r="S43" s="12">
        <f>R43/1000</f>
        <v>26.940597120000007</v>
      </c>
    </row>
    <row r="44" spans="1:19" x14ac:dyDescent="0.25">
      <c r="A44" s="7">
        <v>43</v>
      </c>
      <c r="B44" s="8" t="s">
        <v>17</v>
      </c>
      <c r="C44" s="8" t="s">
        <v>311</v>
      </c>
      <c r="D44" s="7" t="s">
        <v>698</v>
      </c>
      <c r="E44" s="8" t="s">
        <v>744</v>
      </c>
      <c r="F44" s="9">
        <v>5</v>
      </c>
      <c r="G44" s="10" t="s">
        <v>33</v>
      </c>
      <c r="H44" s="8" t="s">
        <v>154</v>
      </c>
      <c r="I44" s="8" t="s">
        <v>155</v>
      </c>
      <c r="J44" s="8" t="s">
        <v>22</v>
      </c>
      <c r="K44" s="8"/>
      <c r="L44" s="11">
        <v>6.4</v>
      </c>
      <c r="M44" s="11">
        <v>9.8000000000000007</v>
      </c>
      <c r="N44" s="11">
        <v>10.1</v>
      </c>
      <c r="O44" s="11">
        <f>L44*4</f>
        <v>25.6</v>
      </c>
      <c r="P44" s="11">
        <f>M44*4</f>
        <v>39.200000000000003</v>
      </c>
      <c r="Q44" s="11">
        <f>N44*4</f>
        <v>40.4</v>
      </c>
      <c r="R44" s="12">
        <f>(4/3)*3.14*(Q44/2)^3</f>
        <v>34508.214826666663</v>
      </c>
      <c r="S44" s="12">
        <f>R44/1000</f>
        <v>34.508214826666659</v>
      </c>
    </row>
    <row r="45" spans="1:19" x14ac:dyDescent="0.25">
      <c r="A45" s="7">
        <v>44</v>
      </c>
      <c r="B45" s="8" t="s">
        <v>17</v>
      </c>
      <c r="C45" s="8" t="s">
        <v>312</v>
      </c>
      <c r="D45" s="7" t="s">
        <v>698</v>
      </c>
      <c r="E45" s="8" t="s">
        <v>744</v>
      </c>
      <c r="F45" s="9">
        <v>5</v>
      </c>
      <c r="G45" s="10" t="s">
        <v>33</v>
      </c>
      <c r="H45" s="8" t="s">
        <v>313</v>
      </c>
      <c r="I45" s="8" t="s">
        <v>313</v>
      </c>
      <c r="J45" s="8" t="s">
        <v>22</v>
      </c>
      <c r="K45" s="8"/>
      <c r="L45" s="11">
        <v>6.8</v>
      </c>
      <c r="M45" s="11">
        <v>9.1</v>
      </c>
      <c r="N45" s="11">
        <v>9.6</v>
      </c>
      <c r="O45" s="11">
        <f>L45*4</f>
        <v>27.2</v>
      </c>
      <c r="P45" s="11">
        <f>M45*4</f>
        <v>36.4</v>
      </c>
      <c r="Q45" s="11">
        <f>N45*4</f>
        <v>38.4</v>
      </c>
      <c r="R45" s="12">
        <f>(4/3)*3.14*(Q45/2)^3</f>
        <v>29632.75776</v>
      </c>
      <c r="S45" s="12">
        <f>R45/1000</f>
        <v>29.632757760000001</v>
      </c>
    </row>
    <row r="46" spans="1:19" x14ac:dyDescent="0.25">
      <c r="A46" s="7">
        <v>45</v>
      </c>
      <c r="B46" s="8" t="s">
        <v>17</v>
      </c>
      <c r="C46" s="8" t="s">
        <v>314</v>
      </c>
      <c r="D46" s="7" t="s">
        <v>698</v>
      </c>
      <c r="E46" s="8" t="s">
        <v>744</v>
      </c>
      <c r="F46" s="9">
        <v>5</v>
      </c>
      <c r="G46" s="10" t="s">
        <v>37</v>
      </c>
      <c r="H46" s="8" t="s">
        <v>154</v>
      </c>
      <c r="I46" s="8" t="s">
        <v>155</v>
      </c>
      <c r="J46" s="8" t="s">
        <v>22</v>
      </c>
      <c r="K46" s="8"/>
      <c r="L46" s="11">
        <v>8.4</v>
      </c>
      <c r="M46" s="11">
        <v>9.9</v>
      </c>
      <c r="N46" s="11">
        <v>11.1</v>
      </c>
      <c r="O46" s="11">
        <f>L46*4</f>
        <v>33.6</v>
      </c>
      <c r="P46" s="11">
        <f>M46*4</f>
        <v>39.6</v>
      </c>
      <c r="Q46" s="11">
        <f>N46*4</f>
        <v>44.4</v>
      </c>
      <c r="R46" s="12">
        <f>(4/3)*3.14*(Q46/2)^3</f>
        <v>45806.520959999994</v>
      </c>
      <c r="S46" s="12">
        <f>R46/1000</f>
        <v>45.806520959999993</v>
      </c>
    </row>
    <row r="47" spans="1:19" x14ac:dyDescent="0.25">
      <c r="A47" s="7">
        <v>46</v>
      </c>
      <c r="B47" s="8" t="s">
        <v>17</v>
      </c>
      <c r="C47" s="8" t="s">
        <v>315</v>
      </c>
      <c r="D47" s="7" t="s">
        <v>698</v>
      </c>
      <c r="E47" s="8" t="s">
        <v>744</v>
      </c>
      <c r="F47" s="9">
        <v>5</v>
      </c>
      <c r="G47" s="10" t="s">
        <v>33</v>
      </c>
      <c r="H47" s="8" t="s">
        <v>20</v>
      </c>
      <c r="I47" s="8" t="s">
        <v>21</v>
      </c>
      <c r="J47" s="8"/>
      <c r="K47" s="8" t="s">
        <v>110</v>
      </c>
      <c r="L47" s="11">
        <v>3.4</v>
      </c>
      <c r="M47" s="11">
        <v>7.6</v>
      </c>
      <c r="N47" s="11">
        <v>8.1999999999999993</v>
      </c>
      <c r="O47" s="11">
        <f>L47*4</f>
        <v>13.6</v>
      </c>
      <c r="P47" s="11">
        <f>M47*4</f>
        <v>30.4</v>
      </c>
      <c r="Q47" s="11">
        <f>N47*4</f>
        <v>32.799999999999997</v>
      </c>
      <c r="R47" s="12">
        <f>(4/3)*3.14*(Q47/2)^3</f>
        <v>18467.152213333331</v>
      </c>
      <c r="S47" s="12">
        <f>R47/1000</f>
        <v>18.467152213333332</v>
      </c>
    </row>
    <row r="48" spans="1:19" x14ac:dyDescent="0.25">
      <c r="A48" s="7">
        <v>47</v>
      </c>
      <c r="B48" s="8" t="s">
        <v>17</v>
      </c>
      <c r="C48" s="8" t="s">
        <v>185</v>
      </c>
      <c r="D48" s="7" t="s">
        <v>698</v>
      </c>
      <c r="E48" s="8" t="s">
        <v>744</v>
      </c>
      <c r="F48" s="9">
        <v>4</v>
      </c>
      <c r="G48" s="10" t="s">
        <v>33</v>
      </c>
      <c r="H48" s="8" t="s">
        <v>107</v>
      </c>
      <c r="I48" s="8" t="s">
        <v>107</v>
      </c>
      <c r="J48" s="8"/>
      <c r="K48" s="8"/>
      <c r="L48" s="11">
        <v>9.6</v>
      </c>
      <c r="M48" s="11">
        <v>8</v>
      </c>
      <c r="N48" s="11">
        <v>10.6</v>
      </c>
      <c r="O48" s="11">
        <f>L48*4</f>
        <v>38.4</v>
      </c>
      <c r="P48" s="11">
        <f>M48*4</f>
        <v>32</v>
      </c>
      <c r="Q48" s="11">
        <f>N48*4</f>
        <v>42.4</v>
      </c>
      <c r="R48" s="12">
        <f>2/3*3.14*(Q48/2)^3</f>
        <v>19945.547946666662</v>
      </c>
      <c r="S48" s="12">
        <f>R48/1000</f>
        <v>19.945547946666661</v>
      </c>
    </row>
    <row r="49" spans="1:19" x14ac:dyDescent="0.25">
      <c r="A49" s="7">
        <v>48</v>
      </c>
      <c r="B49" s="8" t="s">
        <v>17</v>
      </c>
      <c r="C49" s="8" t="s">
        <v>186</v>
      </c>
      <c r="D49" s="7" t="s">
        <v>698</v>
      </c>
      <c r="E49" s="8" t="s">
        <v>744</v>
      </c>
      <c r="F49" s="9">
        <v>4</v>
      </c>
      <c r="G49" s="10" t="s">
        <v>33</v>
      </c>
      <c r="H49" s="8" t="s">
        <v>86</v>
      </c>
      <c r="I49" s="8" t="s">
        <v>86</v>
      </c>
      <c r="J49" s="8" t="s">
        <v>22</v>
      </c>
      <c r="K49" s="8"/>
      <c r="L49" s="11">
        <v>7.8</v>
      </c>
      <c r="M49" s="11">
        <v>6.4</v>
      </c>
      <c r="N49" s="11">
        <v>7.8</v>
      </c>
      <c r="O49" s="11">
        <f>L49*4</f>
        <v>31.2</v>
      </c>
      <c r="P49" s="11">
        <f>M49*4</f>
        <v>25.6</v>
      </c>
      <c r="Q49" s="11">
        <f>N49*4</f>
        <v>31.2</v>
      </c>
      <c r="R49" s="12">
        <f>2/3*3.14*(Q49/2)^3</f>
        <v>7947.1641599999994</v>
      </c>
      <c r="S49" s="12">
        <f>R49/1000</f>
        <v>7.9471641599999989</v>
      </c>
    </row>
    <row r="50" spans="1:19" x14ac:dyDescent="0.25">
      <c r="A50" s="7">
        <v>49</v>
      </c>
      <c r="B50" s="8" t="s">
        <v>17</v>
      </c>
      <c r="C50" s="8" t="s">
        <v>636</v>
      </c>
      <c r="D50" s="7" t="s">
        <v>698</v>
      </c>
      <c r="E50" s="8" t="s">
        <v>744</v>
      </c>
      <c r="F50" s="9">
        <v>12</v>
      </c>
      <c r="G50" s="10"/>
      <c r="H50" s="8" t="s">
        <v>20</v>
      </c>
      <c r="I50" s="8" t="s">
        <v>21</v>
      </c>
      <c r="J50" s="8" t="s">
        <v>22</v>
      </c>
      <c r="K50" s="8"/>
      <c r="L50" s="11">
        <v>1.4</v>
      </c>
      <c r="M50" s="11">
        <v>3.2</v>
      </c>
      <c r="N50" s="11">
        <v>2.6</v>
      </c>
      <c r="O50" s="11">
        <f>L50*4</f>
        <v>5.6</v>
      </c>
      <c r="P50" s="11">
        <f>M50*4</f>
        <v>12.8</v>
      </c>
      <c r="Q50" s="11">
        <f>N50*4</f>
        <v>10.4</v>
      </c>
      <c r="R50" s="12"/>
      <c r="S50" s="12"/>
    </row>
    <row r="51" spans="1:19" x14ac:dyDescent="0.25">
      <c r="A51" s="7">
        <v>50</v>
      </c>
      <c r="B51" s="8" t="s">
        <v>17</v>
      </c>
      <c r="C51" s="8" t="s">
        <v>512</v>
      </c>
      <c r="D51" s="7" t="s">
        <v>698</v>
      </c>
      <c r="E51" s="8" t="s">
        <v>744</v>
      </c>
      <c r="F51" s="9">
        <v>6</v>
      </c>
      <c r="G51" s="10" t="s">
        <v>25</v>
      </c>
      <c r="H51" s="8" t="s">
        <v>86</v>
      </c>
      <c r="I51" s="8" t="s">
        <v>86</v>
      </c>
      <c r="J51" s="8"/>
      <c r="K51" s="8"/>
      <c r="L51" s="11">
        <v>2.9</v>
      </c>
      <c r="M51" s="11">
        <v>5.2</v>
      </c>
      <c r="N51" s="11">
        <v>5.4</v>
      </c>
      <c r="O51" s="11">
        <f>L51*4</f>
        <v>11.6</v>
      </c>
      <c r="P51" s="11">
        <f>M51*4</f>
        <v>20.8</v>
      </c>
      <c r="Q51" s="11">
        <f>N51*4</f>
        <v>21.6</v>
      </c>
      <c r="R51" s="12">
        <f>(4/3)*3.14*(Q51/2)^3</f>
        <v>5273.9942400000009</v>
      </c>
      <c r="S51" s="12">
        <f>R51/1000</f>
        <v>5.2739942400000013</v>
      </c>
    </row>
    <row r="52" spans="1:19" x14ac:dyDescent="0.25">
      <c r="A52" s="7">
        <v>51</v>
      </c>
      <c r="B52" s="8" t="s">
        <v>17</v>
      </c>
      <c r="C52" s="8" t="s">
        <v>513</v>
      </c>
      <c r="D52" s="7" t="s">
        <v>698</v>
      </c>
      <c r="E52" s="8" t="s">
        <v>744</v>
      </c>
      <c r="F52" s="9">
        <v>6</v>
      </c>
      <c r="G52" s="10" t="s">
        <v>33</v>
      </c>
      <c r="H52" s="8" t="s">
        <v>86</v>
      </c>
      <c r="I52" s="8" t="s">
        <v>86</v>
      </c>
      <c r="J52" s="8"/>
      <c r="K52" s="8"/>
      <c r="L52" s="11">
        <v>2.8</v>
      </c>
      <c r="M52" s="11">
        <v>6.6</v>
      </c>
      <c r="N52" s="11">
        <v>5.9</v>
      </c>
      <c r="O52" s="11">
        <f>L52*4</f>
        <v>11.2</v>
      </c>
      <c r="P52" s="11">
        <f>M52*4</f>
        <v>26.4</v>
      </c>
      <c r="Q52" s="11">
        <f>N52*4</f>
        <v>23.6</v>
      </c>
      <c r="R52" s="12">
        <f>(4/3)*3.14*(Q52/2)^3</f>
        <v>6878.827306666667</v>
      </c>
      <c r="S52" s="12">
        <f>R52/1000</f>
        <v>6.8788273066666674</v>
      </c>
    </row>
    <row r="53" spans="1:19" x14ac:dyDescent="0.25">
      <c r="A53" s="7">
        <v>52</v>
      </c>
      <c r="B53" s="8" t="s">
        <v>17</v>
      </c>
      <c r="C53" s="8" t="s">
        <v>152</v>
      </c>
      <c r="D53" s="7" t="s">
        <v>699</v>
      </c>
      <c r="E53" s="8" t="s">
        <v>744</v>
      </c>
      <c r="F53" s="9">
        <v>3</v>
      </c>
      <c r="G53" s="10" t="s">
        <v>37</v>
      </c>
      <c r="H53" s="8" t="s">
        <v>26</v>
      </c>
      <c r="I53" s="8" t="s">
        <v>27</v>
      </c>
      <c r="J53" s="8" t="s">
        <v>22</v>
      </c>
      <c r="K53" s="8"/>
      <c r="L53" s="11">
        <v>12.9</v>
      </c>
      <c r="M53" s="11">
        <v>10.7</v>
      </c>
      <c r="N53" s="11">
        <v>15.8</v>
      </c>
      <c r="O53" s="11">
        <f>L53*4</f>
        <v>51.6</v>
      </c>
      <c r="P53" s="11">
        <f>M53*4</f>
        <v>42.8</v>
      </c>
      <c r="Q53" s="11">
        <f>N53*4</f>
        <v>63.2</v>
      </c>
      <c r="R53" s="12">
        <f>4/3*3.14*(Q53/2)*(Q53/2)*(P53/2)</f>
        <v>89465.650346666662</v>
      </c>
      <c r="S53" s="12">
        <f>R53/1000</f>
        <v>89.465650346666663</v>
      </c>
    </row>
    <row r="54" spans="1:19" x14ac:dyDescent="0.25">
      <c r="A54" s="7">
        <v>53</v>
      </c>
      <c r="B54" s="8" t="s">
        <v>17</v>
      </c>
      <c r="C54" s="8" t="s">
        <v>316</v>
      </c>
      <c r="D54" s="7" t="s">
        <v>699</v>
      </c>
      <c r="E54" s="8" t="s">
        <v>744</v>
      </c>
      <c r="F54" s="9">
        <v>5</v>
      </c>
      <c r="G54" s="10" t="s">
        <v>37</v>
      </c>
      <c r="H54" s="8" t="s">
        <v>86</v>
      </c>
      <c r="I54" s="8" t="s">
        <v>86</v>
      </c>
      <c r="J54" s="8" t="s">
        <v>22</v>
      </c>
      <c r="K54" s="8"/>
      <c r="L54" s="11">
        <v>8.8000000000000007</v>
      </c>
      <c r="M54" s="11">
        <v>8.6999999999999993</v>
      </c>
      <c r="N54" s="11">
        <v>10.9</v>
      </c>
      <c r="O54" s="11">
        <f>L54*4</f>
        <v>35.200000000000003</v>
      </c>
      <c r="P54" s="11">
        <f>M54*4</f>
        <v>34.799999999999997</v>
      </c>
      <c r="Q54" s="11">
        <f>N54*4</f>
        <v>43.6</v>
      </c>
      <c r="R54" s="12">
        <f>(4/3)*3.14*(Q54/2)^3</f>
        <v>43374.837973333335</v>
      </c>
      <c r="S54" s="12">
        <f>R54/1000</f>
        <v>43.374837973333335</v>
      </c>
    </row>
    <row r="55" spans="1:19" x14ac:dyDescent="0.25">
      <c r="A55" s="7">
        <v>54</v>
      </c>
      <c r="B55" s="8" t="s">
        <v>17</v>
      </c>
      <c r="C55" s="8" t="s">
        <v>317</v>
      </c>
      <c r="D55" s="7" t="s">
        <v>699</v>
      </c>
      <c r="E55" s="8" t="s">
        <v>744</v>
      </c>
      <c r="F55" s="9">
        <v>5</v>
      </c>
      <c r="G55" s="10" t="s">
        <v>33</v>
      </c>
      <c r="H55" s="8" t="s">
        <v>154</v>
      </c>
      <c r="I55" s="8" t="s">
        <v>155</v>
      </c>
      <c r="J55" s="8" t="s">
        <v>22</v>
      </c>
      <c r="K55" s="8"/>
      <c r="L55" s="11">
        <v>4.5999999999999996</v>
      </c>
      <c r="M55" s="11">
        <v>6.4</v>
      </c>
      <c r="N55" s="11">
        <v>7.4</v>
      </c>
      <c r="O55" s="11">
        <f>L55*4</f>
        <v>18.399999999999999</v>
      </c>
      <c r="P55" s="11">
        <f>M55*4</f>
        <v>25.6</v>
      </c>
      <c r="Q55" s="11">
        <f>N55*4</f>
        <v>29.6</v>
      </c>
      <c r="R55" s="12">
        <f>(4/3)*3.14*(Q55/2)^3</f>
        <v>13572.302506666669</v>
      </c>
      <c r="S55" s="12">
        <f>R55/1000</f>
        <v>13.572302506666668</v>
      </c>
    </row>
    <row r="56" spans="1:19" x14ac:dyDescent="0.25">
      <c r="A56" s="7">
        <v>55</v>
      </c>
      <c r="B56" s="8" t="s">
        <v>17</v>
      </c>
      <c r="C56" s="8" t="s">
        <v>318</v>
      </c>
      <c r="D56" s="7" t="s">
        <v>699</v>
      </c>
      <c r="E56" s="8" t="s">
        <v>744</v>
      </c>
      <c r="F56" s="9">
        <v>5</v>
      </c>
      <c r="G56" s="10" t="s">
        <v>33</v>
      </c>
      <c r="H56" s="8" t="s">
        <v>154</v>
      </c>
      <c r="I56" s="8" t="s">
        <v>155</v>
      </c>
      <c r="J56" s="8" t="s">
        <v>22</v>
      </c>
      <c r="K56" s="8"/>
      <c r="L56" s="11">
        <v>5.5</v>
      </c>
      <c r="M56" s="11">
        <v>7</v>
      </c>
      <c r="N56" s="11">
        <v>8</v>
      </c>
      <c r="O56" s="11">
        <f>L56*4</f>
        <v>22</v>
      </c>
      <c r="P56" s="11">
        <f>M56*4</f>
        <v>28</v>
      </c>
      <c r="Q56" s="11">
        <f>N56*4</f>
        <v>32</v>
      </c>
      <c r="R56" s="12">
        <f>(4/3)*3.14*(Q56/2)^3</f>
        <v>17148.586666666666</v>
      </c>
      <c r="S56" s="12">
        <f>R56/1000</f>
        <v>17.148586666666667</v>
      </c>
    </row>
    <row r="57" spans="1:19" x14ac:dyDescent="0.25">
      <c r="A57" s="7">
        <v>56</v>
      </c>
      <c r="B57" s="8" t="s">
        <v>17</v>
      </c>
      <c r="C57" s="8" t="s">
        <v>319</v>
      </c>
      <c r="D57" s="7" t="s">
        <v>699</v>
      </c>
      <c r="E57" s="8" t="s">
        <v>744</v>
      </c>
      <c r="F57" s="9">
        <v>5</v>
      </c>
      <c r="G57" s="10" t="s">
        <v>42</v>
      </c>
      <c r="H57" s="8" t="s">
        <v>154</v>
      </c>
      <c r="I57" s="8" t="s">
        <v>155</v>
      </c>
      <c r="J57" s="8"/>
      <c r="K57" s="8"/>
      <c r="L57" s="11">
        <v>15.4</v>
      </c>
      <c r="M57" s="11">
        <v>15.5</v>
      </c>
      <c r="N57" s="11">
        <v>17.8</v>
      </c>
      <c r="O57" s="11">
        <f>L57*4</f>
        <v>61.6</v>
      </c>
      <c r="P57" s="11">
        <f>M57*4</f>
        <v>62</v>
      </c>
      <c r="Q57" s="11">
        <f>N57*4</f>
        <v>71.2</v>
      </c>
      <c r="R57" s="12">
        <f>(4/3)*3.14*(Q57/2)^3</f>
        <v>188894.09365333334</v>
      </c>
      <c r="S57" s="12">
        <f>R57/1000</f>
        <v>188.89409365333336</v>
      </c>
    </row>
    <row r="58" spans="1:19" x14ac:dyDescent="0.25">
      <c r="A58" s="7">
        <v>57</v>
      </c>
      <c r="B58" s="8" t="s">
        <v>81</v>
      </c>
      <c r="C58" s="8" t="s">
        <v>544</v>
      </c>
      <c r="D58" s="7" t="s">
        <v>700</v>
      </c>
      <c r="E58" s="8" t="s">
        <v>744</v>
      </c>
      <c r="F58" s="9">
        <v>7</v>
      </c>
      <c r="G58" s="10" t="s">
        <v>25</v>
      </c>
      <c r="H58" s="8" t="s">
        <v>20</v>
      </c>
      <c r="I58" s="8" t="s">
        <v>21</v>
      </c>
      <c r="J58" s="8" t="s">
        <v>22</v>
      </c>
      <c r="K58" s="8"/>
      <c r="L58" s="11">
        <v>5.0999999999999996</v>
      </c>
      <c r="M58" s="11">
        <v>2.7</v>
      </c>
      <c r="N58" s="11">
        <v>7</v>
      </c>
      <c r="O58" s="11">
        <f>L58*4</f>
        <v>20.399999999999999</v>
      </c>
      <c r="P58" s="11">
        <f>M58*4</f>
        <v>10.8</v>
      </c>
      <c r="Q58" s="11">
        <f>N58*4</f>
        <v>28</v>
      </c>
      <c r="R58" s="12">
        <f>4/3*3.14*(Q58/2)*(Q58/2)*(P58/2)</f>
        <v>4431.1679999999997</v>
      </c>
      <c r="S58" s="12">
        <f>R58/1000</f>
        <v>4.4311679999999996</v>
      </c>
    </row>
    <row r="59" spans="1:19" x14ac:dyDescent="0.25">
      <c r="A59" s="7">
        <v>58</v>
      </c>
      <c r="B59" s="8" t="s">
        <v>81</v>
      </c>
      <c r="C59" s="8" t="s">
        <v>584</v>
      </c>
      <c r="D59" s="7" t="s">
        <v>700</v>
      </c>
      <c r="E59" s="8" t="s">
        <v>744</v>
      </c>
      <c r="F59" s="9">
        <v>8</v>
      </c>
      <c r="G59" s="10" t="s">
        <v>25</v>
      </c>
      <c r="H59" s="8" t="s">
        <v>20</v>
      </c>
      <c r="I59" s="8" t="s">
        <v>21</v>
      </c>
      <c r="J59" s="8" t="s">
        <v>22</v>
      </c>
      <c r="K59" s="8"/>
      <c r="L59" s="11">
        <v>5.2</v>
      </c>
      <c r="M59" s="11">
        <v>2.2999999999999998</v>
      </c>
      <c r="N59" s="11">
        <v>7.5</v>
      </c>
      <c r="O59" s="11">
        <f>L59*4</f>
        <v>20.8</v>
      </c>
      <c r="P59" s="11">
        <f>M59*4</f>
        <v>9.1999999999999993</v>
      </c>
      <c r="Q59" s="11">
        <f>N59*4</f>
        <v>30</v>
      </c>
      <c r="R59" s="12">
        <f>4/3*3.14*(Q59/2)*(Q59/2)*(P59/2)</f>
        <v>4333.2</v>
      </c>
      <c r="S59" s="12">
        <f>R59/1000</f>
        <v>4.3331999999999997</v>
      </c>
    </row>
    <row r="60" spans="1:19" x14ac:dyDescent="0.25">
      <c r="A60" s="7">
        <v>59</v>
      </c>
      <c r="B60" s="8" t="s">
        <v>81</v>
      </c>
      <c r="C60" s="8" t="s">
        <v>153</v>
      </c>
      <c r="D60" s="7" t="s">
        <v>701</v>
      </c>
      <c r="E60" s="8" t="s">
        <v>744</v>
      </c>
      <c r="F60" s="9">
        <v>3</v>
      </c>
      <c r="G60" s="10" t="s">
        <v>25</v>
      </c>
      <c r="H60" s="8" t="s">
        <v>154</v>
      </c>
      <c r="I60" s="8" t="s">
        <v>155</v>
      </c>
      <c r="J60" s="8" t="s">
        <v>22</v>
      </c>
      <c r="K60" s="8"/>
      <c r="L60" s="11">
        <v>5.5</v>
      </c>
      <c r="M60" s="11">
        <v>4.2</v>
      </c>
      <c r="N60" s="11">
        <v>6.5</v>
      </c>
      <c r="O60" s="11">
        <f>L60*4</f>
        <v>22</v>
      </c>
      <c r="P60" s="11">
        <f>M60*4</f>
        <v>16.8</v>
      </c>
      <c r="Q60" s="11">
        <f>N60*4</f>
        <v>26</v>
      </c>
      <c r="R60" s="12">
        <f>4/3*3.14*(Q60/2)*(Q60/2)*(P60/2)</f>
        <v>5943.3919999999998</v>
      </c>
      <c r="S60" s="12">
        <f>R60/1000</f>
        <v>5.9433920000000002</v>
      </c>
    </row>
    <row r="61" spans="1:19" x14ac:dyDescent="0.25">
      <c r="A61" s="7">
        <v>60</v>
      </c>
      <c r="B61" s="8" t="s">
        <v>81</v>
      </c>
      <c r="C61" s="8" t="s">
        <v>156</v>
      </c>
      <c r="D61" s="7" t="s">
        <v>701</v>
      </c>
      <c r="E61" s="8" t="s">
        <v>744</v>
      </c>
      <c r="F61" s="9">
        <v>3</v>
      </c>
      <c r="G61" s="10" t="s">
        <v>33</v>
      </c>
      <c r="H61" s="8" t="s">
        <v>154</v>
      </c>
      <c r="I61" s="8" t="s">
        <v>155</v>
      </c>
      <c r="J61" s="8" t="s">
        <v>22</v>
      </c>
      <c r="K61" s="8"/>
      <c r="L61" s="11">
        <v>5.9</v>
      </c>
      <c r="M61" s="11">
        <v>4.8</v>
      </c>
      <c r="N61" s="11">
        <v>7.5</v>
      </c>
      <c r="O61" s="11">
        <f>L61*4</f>
        <v>23.6</v>
      </c>
      <c r="P61" s="11">
        <f>M61*4</f>
        <v>19.2</v>
      </c>
      <c r="Q61" s="11">
        <f>N61*4</f>
        <v>30</v>
      </c>
      <c r="R61" s="12">
        <f>4/3*3.14*(Q61/2)*(Q61/2)*(P61/2)</f>
        <v>9043.1999999999989</v>
      </c>
      <c r="S61" s="12">
        <f>R61/1000</f>
        <v>9.0431999999999988</v>
      </c>
    </row>
    <row r="62" spans="1:19" x14ac:dyDescent="0.25">
      <c r="A62" s="7">
        <v>61</v>
      </c>
      <c r="B62" s="8" t="s">
        <v>81</v>
      </c>
      <c r="C62" s="8" t="s">
        <v>82</v>
      </c>
      <c r="D62" s="7" t="s">
        <v>701</v>
      </c>
      <c r="E62" s="8" t="s">
        <v>744</v>
      </c>
      <c r="F62" s="9">
        <v>2</v>
      </c>
      <c r="G62" s="10" t="s">
        <v>25</v>
      </c>
      <c r="H62" s="8" t="s">
        <v>20</v>
      </c>
      <c r="I62" s="8" t="s">
        <v>21</v>
      </c>
      <c r="J62" s="8" t="s">
        <v>22</v>
      </c>
      <c r="K62" s="8"/>
      <c r="L62" s="11">
        <v>6.6</v>
      </c>
      <c r="M62" s="11">
        <v>2.5</v>
      </c>
      <c r="N62" s="11">
        <v>6.6</v>
      </c>
      <c r="O62" s="11">
        <f>L62*4</f>
        <v>26.4</v>
      </c>
      <c r="P62" s="11">
        <f>M62*4</f>
        <v>10</v>
      </c>
      <c r="Q62" s="11">
        <f>N62*4</f>
        <v>26.4</v>
      </c>
      <c r="R62" s="12">
        <f>(1/3)*3.14*P62^2*(3*(Q62/2)-P62)</f>
        <v>3098.1333333333323</v>
      </c>
      <c r="S62" s="12">
        <f>R62/1000</f>
        <v>3.0981333333333323</v>
      </c>
    </row>
    <row r="63" spans="1:19" x14ac:dyDescent="0.25">
      <c r="A63" s="7">
        <v>62</v>
      </c>
      <c r="B63" s="8" t="s">
        <v>81</v>
      </c>
      <c r="C63" s="8" t="s">
        <v>83</v>
      </c>
      <c r="D63" s="7" t="s">
        <v>701</v>
      </c>
      <c r="E63" s="8" t="s">
        <v>744</v>
      </c>
      <c r="F63" s="9">
        <v>2</v>
      </c>
      <c r="G63" s="10" t="s">
        <v>25</v>
      </c>
      <c r="H63" s="8" t="s">
        <v>20</v>
      </c>
      <c r="I63" s="8" t="s">
        <v>21</v>
      </c>
      <c r="J63" s="8" t="s">
        <v>22</v>
      </c>
      <c r="K63" s="8"/>
      <c r="L63" s="11">
        <v>7.1</v>
      </c>
      <c r="M63" s="11">
        <v>3.5</v>
      </c>
      <c r="N63" s="11">
        <v>7.1</v>
      </c>
      <c r="O63" s="11">
        <f>L63*4</f>
        <v>28.4</v>
      </c>
      <c r="P63" s="11">
        <f>M63*4</f>
        <v>14</v>
      </c>
      <c r="Q63" s="11">
        <f>N63*4</f>
        <v>28.4</v>
      </c>
      <c r="R63" s="12">
        <f>(1/3)*3.14*P63^2*(3*(Q63/2)-P63)</f>
        <v>5867.1946666666645</v>
      </c>
      <c r="S63" s="12">
        <f>R63/1000</f>
        <v>5.8671946666666646</v>
      </c>
    </row>
    <row r="64" spans="1:19" x14ac:dyDescent="0.25">
      <c r="A64" s="7">
        <v>63</v>
      </c>
      <c r="B64" s="8" t="s">
        <v>81</v>
      </c>
      <c r="C64" s="8" t="s">
        <v>585</v>
      </c>
      <c r="D64" s="7" t="s">
        <v>701</v>
      </c>
      <c r="E64" s="8" t="s">
        <v>744</v>
      </c>
      <c r="F64" s="9">
        <v>8</v>
      </c>
      <c r="G64" s="10" t="s">
        <v>33</v>
      </c>
      <c r="H64" s="8" t="s">
        <v>20</v>
      </c>
      <c r="I64" s="8" t="s">
        <v>21</v>
      </c>
      <c r="J64" s="8" t="s">
        <v>22</v>
      </c>
      <c r="K64" s="8"/>
      <c r="L64" s="11">
        <v>9.1</v>
      </c>
      <c r="M64" s="11">
        <v>3.4</v>
      </c>
      <c r="N64" s="11">
        <v>11.3</v>
      </c>
      <c r="O64" s="11">
        <f>L64*4</f>
        <v>36.4</v>
      </c>
      <c r="P64" s="11">
        <f>M64*4</f>
        <v>13.6</v>
      </c>
      <c r="Q64" s="11">
        <f>N64*4</f>
        <v>45.2</v>
      </c>
      <c r="R64" s="12">
        <f>4/3*3.14*(Q64/2)*(Q64/2)*(P64/2)</f>
        <v>14540.996693333336</v>
      </c>
      <c r="S64" s="12">
        <f>R64/1000</f>
        <v>14.540996693333335</v>
      </c>
    </row>
    <row r="65" spans="1:19" x14ac:dyDescent="0.25">
      <c r="A65" s="7">
        <v>64</v>
      </c>
      <c r="B65" s="8" t="s">
        <v>23</v>
      </c>
      <c r="C65" s="8" t="s">
        <v>187</v>
      </c>
      <c r="D65" s="7" t="s">
        <v>702</v>
      </c>
      <c r="E65" s="8" t="s">
        <v>745</v>
      </c>
      <c r="F65" s="9">
        <v>4</v>
      </c>
      <c r="G65" s="10" t="s">
        <v>19</v>
      </c>
      <c r="H65" s="8" t="s">
        <v>20</v>
      </c>
      <c r="I65" s="8" t="s">
        <v>21</v>
      </c>
      <c r="J65" s="8" t="s">
        <v>22</v>
      </c>
      <c r="K65" s="8"/>
      <c r="L65" s="11">
        <v>3.6</v>
      </c>
      <c r="M65" s="11">
        <v>1.9</v>
      </c>
      <c r="N65" s="11">
        <v>3.6</v>
      </c>
      <c r="O65" s="11">
        <f>L65*4</f>
        <v>14.4</v>
      </c>
      <c r="P65" s="11">
        <f>M65*4</f>
        <v>7.6</v>
      </c>
      <c r="Q65" s="11">
        <f>N65*4</f>
        <v>14.4</v>
      </c>
      <c r="R65" s="12">
        <f>2/3*3.14*(Q65/2)^3</f>
        <v>781.33248000000003</v>
      </c>
      <c r="S65" s="12">
        <f>R65/1000</f>
        <v>0.78133248</v>
      </c>
    </row>
    <row r="66" spans="1:19" x14ac:dyDescent="0.25">
      <c r="A66" s="7">
        <v>65</v>
      </c>
      <c r="B66" s="8" t="s">
        <v>23</v>
      </c>
      <c r="C66" s="8" t="s">
        <v>157</v>
      </c>
      <c r="D66" s="7" t="s">
        <v>702</v>
      </c>
      <c r="E66" s="8" t="s">
        <v>745</v>
      </c>
      <c r="F66" s="9">
        <v>3</v>
      </c>
      <c r="G66" s="10" t="s">
        <v>25</v>
      </c>
      <c r="H66" s="8" t="s">
        <v>20</v>
      </c>
      <c r="I66" s="8" t="s">
        <v>21</v>
      </c>
      <c r="J66" s="8" t="s">
        <v>22</v>
      </c>
      <c r="K66" s="8"/>
      <c r="L66" s="11">
        <v>4.5999999999999996</v>
      </c>
      <c r="M66" s="11">
        <v>2.5</v>
      </c>
      <c r="N66" s="11">
        <v>5.0999999999999996</v>
      </c>
      <c r="O66" s="11">
        <f>L66*4</f>
        <v>18.399999999999999</v>
      </c>
      <c r="P66" s="11">
        <f>M66*4</f>
        <v>10</v>
      </c>
      <c r="Q66" s="11">
        <f>N66*4</f>
        <v>20.399999999999999</v>
      </c>
      <c r="R66" s="12">
        <f>4/3*3.14*(Q66/2)*(Q66/2)*(P66/2)</f>
        <v>2177.9039999999995</v>
      </c>
      <c r="S66" s="12">
        <f>R66/1000</f>
        <v>2.1779039999999994</v>
      </c>
    </row>
    <row r="67" spans="1:19" x14ac:dyDescent="0.25">
      <c r="A67" s="7">
        <v>66</v>
      </c>
      <c r="B67" s="8" t="s">
        <v>23</v>
      </c>
      <c r="C67" s="8" t="s">
        <v>158</v>
      </c>
      <c r="D67" s="7" t="s">
        <v>702</v>
      </c>
      <c r="E67" s="8" t="s">
        <v>745</v>
      </c>
      <c r="F67" s="9">
        <v>3</v>
      </c>
      <c r="G67" s="10" t="s">
        <v>25</v>
      </c>
      <c r="H67" s="8" t="s">
        <v>20</v>
      </c>
      <c r="I67" s="8" t="s">
        <v>21</v>
      </c>
      <c r="J67" s="8" t="s">
        <v>22</v>
      </c>
      <c r="K67" s="8"/>
      <c r="L67" s="11">
        <v>4.7</v>
      </c>
      <c r="M67" s="11">
        <v>2.9</v>
      </c>
      <c r="N67" s="11">
        <v>5.2</v>
      </c>
      <c r="O67" s="11">
        <f>L67*4</f>
        <v>18.8</v>
      </c>
      <c r="P67" s="11">
        <f>M67*4</f>
        <v>11.6</v>
      </c>
      <c r="Q67" s="11">
        <f>N67*4</f>
        <v>20.8</v>
      </c>
      <c r="R67" s="12">
        <f>4/3*3.14*(Q67/2)*(Q67/2)*(P67/2)</f>
        <v>2626.413226666667</v>
      </c>
      <c r="S67" s="12">
        <f>R67/1000</f>
        <v>2.6264132266666671</v>
      </c>
    </row>
    <row r="68" spans="1:19" x14ac:dyDescent="0.25">
      <c r="A68" s="7">
        <v>67</v>
      </c>
      <c r="B68" s="8" t="s">
        <v>23</v>
      </c>
      <c r="C68" s="8" t="s">
        <v>605</v>
      </c>
      <c r="D68" s="7" t="s">
        <v>702</v>
      </c>
      <c r="E68" s="8" t="s">
        <v>745</v>
      </c>
      <c r="F68" s="9">
        <v>10</v>
      </c>
      <c r="G68" s="10" t="s">
        <v>37</v>
      </c>
      <c r="H68" s="8" t="s">
        <v>86</v>
      </c>
      <c r="I68" s="8" t="s">
        <v>86</v>
      </c>
      <c r="J68" s="8"/>
      <c r="K68" s="8"/>
      <c r="L68" s="11">
        <v>7.8</v>
      </c>
      <c r="M68" s="11">
        <v>11.9</v>
      </c>
      <c r="N68" s="11">
        <v>10.7</v>
      </c>
      <c r="O68" s="11">
        <f>L68*4</f>
        <v>31.2</v>
      </c>
      <c r="P68" s="11">
        <f>M68*4</f>
        <v>47.6</v>
      </c>
      <c r="Q68" s="11">
        <f>N68*4</f>
        <v>42.8</v>
      </c>
      <c r="R68" s="12">
        <f>4/3*3.14*(Q68/2)*(Q68/2)*(P68/2)</f>
        <v>45632.355626666664</v>
      </c>
      <c r="S68" s="12">
        <f>R68/1000</f>
        <v>45.632355626666666</v>
      </c>
    </row>
    <row r="69" spans="1:19" x14ac:dyDescent="0.25">
      <c r="A69" s="7">
        <v>68</v>
      </c>
      <c r="B69" s="8" t="s">
        <v>23</v>
      </c>
      <c r="C69" s="8" t="s">
        <v>320</v>
      </c>
      <c r="D69" s="7" t="s">
        <v>702</v>
      </c>
      <c r="E69" s="8" t="s">
        <v>745</v>
      </c>
      <c r="F69" s="9">
        <v>5</v>
      </c>
      <c r="G69" s="10" t="s">
        <v>33</v>
      </c>
      <c r="H69" s="8" t="s">
        <v>26</v>
      </c>
      <c r="I69" s="8" t="s">
        <v>27</v>
      </c>
      <c r="J69" s="8" t="s">
        <v>22</v>
      </c>
      <c r="K69" s="8"/>
      <c r="L69" s="11">
        <v>5.9</v>
      </c>
      <c r="M69" s="11">
        <v>6.3</v>
      </c>
      <c r="N69" s="11">
        <v>7.1</v>
      </c>
      <c r="O69" s="11">
        <f>L69*4</f>
        <v>23.6</v>
      </c>
      <c r="P69" s="11">
        <f>M69*4</f>
        <v>25.2</v>
      </c>
      <c r="Q69" s="11">
        <f>N69*4</f>
        <v>28.4</v>
      </c>
      <c r="R69" s="12">
        <f>(4/3)*3.14*(Q69/2)^3</f>
        <v>11987.632426666665</v>
      </c>
      <c r="S69" s="12">
        <f>R69/1000</f>
        <v>11.987632426666666</v>
      </c>
    </row>
    <row r="70" spans="1:19" x14ac:dyDescent="0.25">
      <c r="A70" s="7">
        <v>69</v>
      </c>
      <c r="B70" s="8" t="s">
        <v>23</v>
      </c>
      <c r="C70" s="8" t="s">
        <v>321</v>
      </c>
      <c r="D70" s="7" t="s">
        <v>702</v>
      </c>
      <c r="E70" s="8" t="s">
        <v>745</v>
      </c>
      <c r="F70" s="9">
        <v>5</v>
      </c>
      <c r="G70" s="10" t="s">
        <v>33</v>
      </c>
      <c r="H70" s="8" t="s">
        <v>86</v>
      </c>
      <c r="I70" s="8" t="s">
        <v>86</v>
      </c>
      <c r="J70" s="8" t="s">
        <v>237</v>
      </c>
      <c r="K70" s="8"/>
      <c r="L70" s="11">
        <v>4.3</v>
      </c>
      <c r="M70" s="11">
        <v>6.6</v>
      </c>
      <c r="N70" s="11">
        <v>6.4</v>
      </c>
      <c r="O70" s="11">
        <f>L70*4</f>
        <v>17.2</v>
      </c>
      <c r="P70" s="11">
        <f>M70*4</f>
        <v>26.4</v>
      </c>
      <c r="Q70" s="11">
        <f>N70*4</f>
        <v>25.6</v>
      </c>
      <c r="R70" s="12">
        <f>(4/3)*3.14*(Q70/2)^3</f>
        <v>8780.0763733333351</v>
      </c>
      <c r="S70" s="12">
        <f>R70/1000</f>
        <v>8.7800763733333351</v>
      </c>
    </row>
    <row r="71" spans="1:19" x14ac:dyDescent="0.25">
      <c r="A71" s="7">
        <v>70</v>
      </c>
      <c r="B71" s="8" t="s">
        <v>23</v>
      </c>
      <c r="C71" s="8" t="s">
        <v>606</v>
      </c>
      <c r="D71" s="7" t="s">
        <v>702</v>
      </c>
      <c r="E71" s="8" t="s">
        <v>745</v>
      </c>
      <c r="F71" s="9">
        <v>10</v>
      </c>
      <c r="G71" s="10" t="s">
        <v>37</v>
      </c>
      <c r="H71" s="8" t="s">
        <v>86</v>
      </c>
      <c r="I71" s="8" t="s">
        <v>86</v>
      </c>
      <c r="J71" s="8"/>
      <c r="K71" s="8"/>
      <c r="L71" s="11">
        <v>7.2</v>
      </c>
      <c r="M71" s="11">
        <v>11.7</v>
      </c>
      <c r="N71" s="11">
        <v>11.2</v>
      </c>
      <c r="O71" s="11">
        <f>L71*4</f>
        <v>28.8</v>
      </c>
      <c r="P71" s="11">
        <f>M71*4</f>
        <v>46.8</v>
      </c>
      <c r="Q71" s="11">
        <f>N71*4</f>
        <v>44.8</v>
      </c>
      <c r="R71" s="12">
        <f>4/3*3.14*(Q71/2)*(Q71/2)*(P71/2)</f>
        <v>49156.423679999985</v>
      </c>
      <c r="S71" s="12">
        <f>R71/1000</f>
        <v>49.156423679999982</v>
      </c>
    </row>
    <row r="72" spans="1:19" x14ac:dyDescent="0.25">
      <c r="A72" s="7">
        <v>71</v>
      </c>
      <c r="B72" s="8" t="s">
        <v>23</v>
      </c>
      <c r="C72" s="8" t="s">
        <v>607</v>
      </c>
      <c r="D72" s="7" t="s">
        <v>702</v>
      </c>
      <c r="E72" s="8" t="s">
        <v>745</v>
      </c>
      <c r="F72" s="9">
        <v>10</v>
      </c>
      <c r="G72" s="10" t="s">
        <v>33</v>
      </c>
      <c r="H72" s="8" t="s">
        <v>86</v>
      </c>
      <c r="I72" s="8" t="s">
        <v>86</v>
      </c>
      <c r="J72" s="8"/>
      <c r="K72" s="8"/>
      <c r="L72" s="11">
        <v>5.4</v>
      </c>
      <c r="M72" s="11">
        <v>6.4</v>
      </c>
      <c r="N72" s="11">
        <v>6.2</v>
      </c>
      <c r="O72" s="11">
        <f>L72*4</f>
        <v>21.6</v>
      </c>
      <c r="P72" s="11">
        <f>M72*4</f>
        <v>25.6</v>
      </c>
      <c r="Q72" s="11">
        <f>N72*4</f>
        <v>24.8</v>
      </c>
      <c r="R72" s="12">
        <f>4/3*3.14*(Q72/2)*(Q72/2)*(P72/2)</f>
        <v>8239.8958933333342</v>
      </c>
      <c r="S72" s="12">
        <f>R72/1000</f>
        <v>8.2398958933333351</v>
      </c>
    </row>
    <row r="73" spans="1:19" x14ac:dyDescent="0.25">
      <c r="A73" s="7">
        <v>72</v>
      </c>
      <c r="B73" s="8" t="s">
        <v>23</v>
      </c>
      <c r="C73" s="8" t="s">
        <v>514</v>
      </c>
      <c r="D73" s="7" t="s">
        <v>702</v>
      </c>
      <c r="E73" s="8" t="s">
        <v>745</v>
      </c>
      <c r="F73" s="9">
        <v>6</v>
      </c>
      <c r="G73" s="10" t="s">
        <v>33</v>
      </c>
      <c r="H73" s="8" t="s">
        <v>20</v>
      </c>
      <c r="I73" s="8" t="s">
        <v>21</v>
      </c>
      <c r="J73" s="8"/>
      <c r="K73" s="8"/>
      <c r="L73" s="11">
        <v>4.3</v>
      </c>
      <c r="M73" s="11">
        <v>8.6</v>
      </c>
      <c r="N73" s="11">
        <v>9.6</v>
      </c>
      <c r="O73" s="11">
        <f>L73*4</f>
        <v>17.2</v>
      </c>
      <c r="P73" s="11">
        <f>M73*4</f>
        <v>34.4</v>
      </c>
      <c r="Q73" s="11">
        <f>N73*4</f>
        <v>38.4</v>
      </c>
      <c r="R73" s="12">
        <f>(4/3)*3.14*(Q73/2)^3</f>
        <v>29632.75776</v>
      </c>
      <c r="S73" s="12">
        <f>R73/1000</f>
        <v>29.632757760000001</v>
      </c>
    </row>
    <row r="74" spans="1:19" x14ac:dyDescent="0.25">
      <c r="A74" s="7">
        <v>73</v>
      </c>
      <c r="B74" s="8" t="s">
        <v>23</v>
      </c>
      <c r="C74" s="8" t="s">
        <v>84</v>
      </c>
      <c r="D74" s="7" t="s">
        <v>702</v>
      </c>
      <c r="E74" s="8" t="s">
        <v>745</v>
      </c>
      <c r="F74" s="9">
        <v>2</v>
      </c>
      <c r="G74" s="10" t="s">
        <v>25</v>
      </c>
      <c r="H74" s="8" t="s">
        <v>60</v>
      </c>
      <c r="I74" s="8" t="s">
        <v>61</v>
      </c>
      <c r="J74" s="8"/>
      <c r="K74" s="8"/>
      <c r="L74" s="11">
        <v>6.3</v>
      </c>
      <c r="M74" s="11">
        <v>2.9</v>
      </c>
      <c r="N74" s="11">
        <v>6.3</v>
      </c>
      <c r="O74" s="11">
        <f>L74*4</f>
        <v>25.2</v>
      </c>
      <c r="P74" s="11">
        <f>M74*4</f>
        <v>11.6</v>
      </c>
      <c r="Q74" s="11">
        <f>N74*4</f>
        <v>25.2</v>
      </c>
      <c r="R74" s="12">
        <f>(1/3)*3.14*P74^2*(3*(Q74/2)-P74)</f>
        <v>3689.9940266666658</v>
      </c>
      <c r="S74" s="12">
        <f>R74/1000</f>
        <v>3.6899940266666658</v>
      </c>
    </row>
    <row r="75" spans="1:19" x14ac:dyDescent="0.25">
      <c r="A75" s="7">
        <v>74</v>
      </c>
      <c r="B75" s="8" t="s">
        <v>23</v>
      </c>
      <c r="C75" s="8" t="s">
        <v>24</v>
      </c>
      <c r="D75" s="7" t="s">
        <v>701</v>
      </c>
      <c r="E75" s="8" t="s">
        <v>744</v>
      </c>
      <c r="F75" s="9">
        <v>1</v>
      </c>
      <c r="G75" s="10" t="s">
        <v>25</v>
      </c>
      <c r="H75" s="8" t="s">
        <v>26</v>
      </c>
      <c r="I75" s="8" t="s">
        <v>27</v>
      </c>
      <c r="J75" s="8" t="s">
        <v>28</v>
      </c>
      <c r="K75" s="8"/>
      <c r="L75" s="11">
        <v>5.5</v>
      </c>
      <c r="M75" s="11">
        <v>1.7</v>
      </c>
      <c r="N75" s="11">
        <v>5.5</v>
      </c>
      <c r="O75" s="11">
        <f>L75*4</f>
        <v>22</v>
      </c>
      <c r="P75" s="11">
        <f>M75*4</f>
        <v>6.8</v>
      </c>
      <c r="Q75" s="11">
        <f>N75*4</f>
        <v>22</v>
      </c>
      <c r="R75" s="12">
        <f>(1/3)*3.14*P75^2*(3*(Q75/2)-P75)</f>
        <v>1268.0241066666665</v>
      </c>
      <c r="S75" s="12">
        <f>R75/1000</f>
        <v>1.2680241066666664</v>
      </c>
    </row>
    <row r="76" spans="1:19" x14ac:dyDescent="0.25">
      <c r="A76" s="7">
        <v>75</v>
      </c>
      <c r="B76" s="8" t="s">
        <v>23</v>
      </c>
      <c r="C76" s="8" t="s">
        <v>159</v>
      </c>
      <c r="D76" s="7" t="s">
        <v>701</v>
      </c>
      <c r="E76" s="8" t="s">
        <v>744</v>
      </c>
      <c r="F76" s="9">
        <v>3</v>
      </c>
      <c r="G76" s="10" t="s">
        <v>33</v>
      </c>
      <c r="H76" s="8" t="s">
        <v>20</v>
      </c>
      <c r="I76" s="8" t="s">
        <v>21</v>
      </c>
      <c r="J76" s="8" t="s">
        <v>22</v>
      </c>
      <c r="K76" s="8" t="s">
        <v>110</v>
      </c>
      <c r="L76" s="11">
        <v>7.1</v>
      </c>
      <c r="M76" s="11">
        <v>4.8</v>
      </c>
      <c r="N76" s="11">
        <v>9</v>
      </c>
      <c r="O76" s="11">
        <f>L76*4</f>
        <v>28.4</v>
      </c>
      <c r="P76" s="11">
        <f>M76*4</f>
        <v>19.2</v>
      </c>
      <c r="Q76" s="11">
        <f>N76*4</f>
        <v>36</v>
      </c>
      <c r="R76" s="12">
        <f>4/3*3.14*(Q76/2)*(Q76/2)*(P76/2)</f>
        <v>13022.208000000001</v>
      </c>
      <c r="S76" s="12">
        <f>R76/1000</f>
        <v>13.022208000000001</v>
      </c>
    </row>
    <row r="77" spans="1:19" x14ac:dyDescent="0.25">
      <c r="A77" s="7">
        <v>76</v>
      </c>
      <c r="B77" s="8" t="s">
        <v>23</v>
      </c>
      <c r="C77" s="8" t="s">
        <v>188</v>
      </c>
      <c r="D77" s="7" t="s">
        <v>701</v>
      </c>
      <c r="E77" s="8" t="s">
        <v>744</v>
      </c>
      <c r="F77" s="9">
        <v>4</v>
      </c>
      <c r="G77" s="10" t="s">
        <v>33</v>
      </c>
      <c r="H77" s="8" t="s">
        <v>26</v>
      </c>
      <c r="I77" s="8" t="s">
        <v>27</v>
      </c>
      <c r="J77" s="8" t="s">
        <v>22</v>
      </c>
      <c r="K77" s="8"/>
      <c r="L77" s="11">
        <v>7.2</v>
      </c>
      <c r="M77" s="11">
        <v>5.6</v>
      </c>
      <c r="N77" s="11">
        <v>7.2</v>
      </c>
      <c r="O77" s="11">
        <f>L77*4</f>
        <v>28.8</v>
      </c>
      <c r="P77" s="11">
        <f>M77*4</f>
        <v>22.4</v>
      </c>
      <c r="Q77" s="11">
        <f>N77*4</f>
        <v>28.8</v>
      </c>
      <c r="R77" s="12">
        <f>2/3*3.14*(Q77/2)^3</f>
        <v>6250.6598400000003</v>
      </c>
      <c r="S77" s="12">
        <f>R77/1000</f>
        <v>6.25065984</v>
      </c>
    </row>
    <row r="78" spans="1:19" x14ac:dyDescent="0.25">
      <c r="A78" s="7">
        <v>77</v>
      </c>
      <c r="B78" s="8" t="s">
        <v>23</v>
      </c>
      <c r="C78" s="8" t="s">
        <v>515</v>
      </c>
      <c r="D78" s="7" t="s">
        <v>701</v>
      </c>
      <c r="E78" s="8" t="s">
        <v>744</v>
      </c>
      <c r="F78" s="9">
        <v>6</v>
      </c>
      <c r="G78" s="10" t="s">
        <v>33</v>
      </c>
      <c r="H78" s="8" t="s">
        <v>294</v>
      </c>
      <c r="I78" s="8" t="s">
        <v>295</v>
      </c>
      <c r="J78" s="8" t="s">
        <v>22</v>
      </c>
      <c r="K78" s="8"/>
      <c r="L78" s="11">
        <v>4.3</v>
      </c>
      <c r="M78" s="11">
        <v>6.4</v>
      </c>
      <c r="N78" s="11">
        <v>7.7</v>
      </c>
      <c r="O78" s="11">
        <f>L78*4</f>
        <v>17.2</v>
      </c>
      <c r="P78" s="11">
        <f>M78*4</f>
        <v>25.6</v>
      </c>
      <c r="Q78" s="11">
        <f>N78*4</f>
        <v>30.8</v>
      </c>
      <c r="R78" s="12">
        <f>(4/3)*3.14*(Q78/2)^3</f>
        <v>15290.811946666669</v>
      </c>
      <c r="S78" s="12">
        <f>R78/1000</f>
        <v>15.290811946666668</v>
      </c>
    </row>
    <row r="79" spans="1:19" x14ac:dyDescent="0.25">
      <c r="A79" s="7">
        <v>78</v>
      </c>
      <c r="B79" s="8" t="s">
        <v>29</v>
      </c>
      <c r="C79" s="8" t="s">
        <v>189</v>
      </c>
      <c r="D79" s="7" t="s">
        <v>703</v>
      </c>
      <c r="E79" s="8" t="s">
        <v>744</v>
      </c>
      <c r="F79" s="9">
        <v>4</v>
      </c>
      <c r="G79" s="10" t="s">
        <v>33</v>
      </c>
      <c r="H79" s="8" t="s">
        <v>26</v>
      </c>
      <c r="I79" s="8" t="s">
        <v>27</v>
      </c>
      <c r="J79" s="8"/>
      <c r="K79" s="8"/>
      <c r="L79" s="11">
        <v>10.4</v>
      </c>
      <c r="M79" s="11">
        <v>7.9</v>
      </c>
      <c r="N79" s="11">
        <v>10.5</v>
      </c>
      <c r="O79" s="11">
        <f>L79*4</f>
        <v>41.6</v>
      </c>
      <c r="P79" s="11">
        <f>M79*4</f>
        <v>31.6</v>
      </c>
      <c r="Q79" s="11">
        <f>N79*4</f>
        <v>42</v>
      </c>
      <c r="R79" s="12">
        <f>2/3*3.14*(Q79/2)^3</f>
        <v>19386.36</v>
      </c>
      <c r="S79" s="12">
        <f>R79/1000</f>
        <v>19.38636</v>
      </c>
    </row>
    <row r="80" spans="1:19" x14ac:dyDescent="0.25">
      <c r="A80" s="7">
        <v>79</v>
      </c>
      <c r="B80" s="8" t="s">
        <v>29</v>
      </c>
      <c r="C80" s="8" t="s">
        <v>85</v>
      </c>
      <c r="D80" s="7" t="s">
        <v>703</v>
      </c>
      <c r="E80" s="8" t="s">
        <v>744</v>
      </c>
      <c r="F80" s="9">
        <v>2</v>
      </c>
      <c r="G80" s="10" t="s">
        <v>33</v>
      </c>
      <c r="H80" s="8" t="s">
        <v>86</v>
      </c>
      <c r="I80" s="8" t="s">
        <v>86</v>
      </c>
      <c r="J80" s="8"/>
      <c r="K80" s="8"/>
      <c r="L80" s="11">
        <v>9.6</v>
      </c>
      <c r="M80" s="11">
        <v>5.0999999999999996</v>
      </c>
      <c r="N80" s="11">
        <v>9.6</v>
      </c>
      <c r="O80" s="11">
        <f>L80*4</f>
        <v>38.4</v>
      </c>
      <c r="P80" s="11">
        <f>M80*4</f>
        <v>20.399999999999999</v>
      </c>
      <c r="Q80" s="11">
        <f>N80*4</f>
        <v>38.4</v>
      </c>
      <c r="R80" s="12">
        <f>(1/3)*3.14*P80^2*(3*(Q80/2)-P80)</f>
        <v>16203.605759999997</v>
      </c>
      <c r="S80" s="12">
        <f>R80/1000</f>
        <v>16.203605759999995</v>
      </c>
    </row>
    <row r="81" spans="1:19" x14ac:dyDescent="0.25">
      <c r="A81" s="7">
        <v>80</v>
      </c>
      <c r="B81" s="8" t="s">
        <v>29</v>
      </c>
      <c r="C81" s="8" t="s">
        <v>87</v>
      </c>
      <c r="D81" s="7" t="s">
        <v>703</v>
      </c>
      <c r="E81" s="8" t="s">
        <v>744</v>
      </c>
      <c r="F81" s="9">
        <v>2</v>
      </c>
      <c r="G81" s="10" t="s">
        <v>33</v>
      </c>
      <c r="H81" s="8" t="s">
        <v>86</v>
      </c>
      <c r="I81" s="8" t="s">
        <v>86</v>
      </c>
      <c r="J81" s="8"/>
      <c r="K81" s="8"/>
      <c r="L81" s="11">
        <v>8.1</v>
      </c>
      <c r="M81" s="11">
        <v>4.0999999999999996</v>
      </c>
      <c r="N81" s="11">
        <v>8.1</v>
      </c>
      <c r="O81" s="11">
        <f>L81*4</f>
        <v>32.4</v>
      </c>
      <c r="P81" s="11">
        <f>M81*4</f>
        <v>16.399999999999999</v>
      </c>
      <c r="Q81" s="11">
        <f>N81*4</f>
        <v>32.4</v>
      </c>
      <c r="R81" s="12">
        <f>(1/3)*3.14*P81^2*(3*(Q81/2)-P81)</f>
        <v>9064.6692266666651</v>
      </c>
      <c r="S81" s="12">
        <f>R81/1000</f>
        <v>9.0646692266666644</v>
      </c>
    </row>
    <row r="82" spans="1:19" x14ac:dyDescent="0.25">
      <c r="A82" s="7">
        <v>81</v>
      </c>
      <c r="B82" s="8" t="s">
        <v>29</v>
      </c>
      <c r="C82" s="8" t="s">
        <v>88</v>
      </c>
      <c r="D82" s="7" t="s">
        <v>703</v>
      </c>
      <c r="E82" s="8" t="s">
        <v>744</v>
      </c>
      <c r="F82" s="9">
        <v>2</v>
      </c>
      <c r="G82" s="10" t="s">
        <v>33</v>
      </c>
      <c r="H82" s="8" t="s">
        <v>86</v>
      </c>
      <c r="I82" s="8" t="s">
        <v>86</v>
      </c>
      <c r="J82" s="8"/>
      <c r="K82" s="8"/>
      <c r="L82" s="11">
        <v>8.5</v>
      </c>
      <c r="M82" s="11">
        <v>4</v>
      </c>
      <c r="N82" s="11">
        <v>8.5</v>
      </c>
      <c r="O82" s="11">
        <f>L82*4</f>
        <v>34</v>
      </c>
      <c r="P82" s="11">
        <f>M82*4</f>
        <v>16</v>
      </c>
      <c r="Q82" s="11">
        <f>N82*4</f>
        <v>34</v>
      </c>
      <c r="R82" s="12">
        <f>(1/3)*3.14*P82^2*(3*(Q82/2)-P82)</f>
        <v>9378.1333333333332</v>
      </c>
      <c r="S82" s="12">
        <f>R82/1000</f>
        <v>9.3781333333333325</v>
      </c>
    </row>
    <row r="83" spans="1:19" x14ac:dyDescent="0.25">
      <c r="A83" s="7">
        <v>82</v>
      </c>
      <c r="B83" s="8" t="s">
        <v>29</v>
      </c>
      <c r="C83" s="8" t="s">
        <v>637</v>
      </c>
      <c r="D83" s="7" t="s">
        <v>703</v>
      </c>
      <c r="E83" s="8" t="s">
        <v>744</v>
      </c>
      <c r="F83" s="9">
        <v>12</v>
      </c>
      <c r="G83" s="10"/>
      <c r="H83" s="8" t="s">
        <v>20</v>
      </c>
      <c r="I83" s="8" t="s">
        <v>21</v>
      </c>
      <c r="J83" s="8" t="s">
        <v>22</v>
      </c>
      <c r="K83" s="8"/>
      <c r="L83" s="11">
        <v>2.9</v>
      </c>
      <c r="M83" s="11">
        <v>6.9</v>
      </c>
      <c r="N83" s="11">
        <v>4.9000000000000004</v>
      </c>
      <c r="O83" s="11">
        <f>L83*4</f>
        <v>11.6</v>
      </c>
      <c r="P83" s="11">
        <f>M83*4</f>
        <v>27.6</v>
      </c>
      <c r="Q83" s="11">
        <f>N83*4</f>
        <v>19.600000000000001</v>
      </c>
      <c r="R83" s="12"/>
      <c r="S83" s="12"/>
    </row>
    <row r="84" spans="1:19" x14ac:dyDescent="0.25">
      <c r="A84" s="7">
        <v>83</v>
      </c>
      <c r="B84" s="8" t="s">
        <v>29</v>
      </c>
      <c r="C84" s="8" t="s">
        <v>322</v>
      </c>
      <c r="D84" s="7" t="s">
        <v>703</v>
      </c>
      <c r="E84" s="8" t="s">
        <v>744</v>
      </c>
      <c r="F84" s="9">
        <v>5</v>
      </c>
      <c r="G84" s="10" t="s">
        <v>33</v>
      </c>
      <c r="H84" s="8" t="s">
        <v>154</v>
      </c>
      <c r="I84" s="8" t="s">
        <v>155</v>
      </c>
      <c r="J84" s="8"/>
      <c r="K84" s="8"/>
      <c r="L84" s="11">
        <v>4.4000000000000004</v>
      </c>
      <c r="M84" s="11">
        <v>6.9</v>
      </c>
      <c r="N84" s="11">
        <v>6.9</v>
      </c>
      <c r="O84" s="11">
        <f>L84*4</f>
        <v>17.600000000000001</v>
      </c>
      <c r="P84" s="11">
        <f>M84*4</f>
        <v>27.6</v>
      </c>
      <c r="Q84" s="11">
        <f>N84*4</f>
        <v>27.6</v>
      </c>
      <c r="R84" s="12">
        <f>(4/3)*3.14*(Q84/2)^3</f>
        <v>11002.861440000002</v>
      </c>
      <c r="S84" s="12">
        <f>R84/1000</f>
        <v>11.002861440000002</v>
      </c>
    </row>
    <row r="85" spans="1:19" x14ac:dyDescent="0.25">
      <c r="A85" s="7">
        <v>84</v>
      </c>
      <c r="B85" s="8" t="s">
        <v>29</v>
      </c>
      <c r="C85" s="8" t="s">
        <v>608</v>
      </c>
      <c r="D85" s="7" t="s">
        <v>703</v>
      </c>
      <c r="E85" s="8" t="s">
        <v>744</v>
      </c>
      <c r="F85" s="9">
        <v>10</v>
      </c>
      <c r="G85" s="10" t="s">
        <v>33</v>
      </c>
      <c r="H85" s="8" t="s">
        <v>26</v>
      </c>
      <c r="I85" s="8" t="s">
        <v>27</v>
      </c>
      <c r="J85" s="8"/>
      <c r="K85" s="8"/>
      <c r="L85" s="11">
        <v>3.8</v>
      </c>
      <c r="M85" s="11">
        <v>8.3000000000000007</v>
      </c>
      <c r="N85" s="11">
        <v>5.9</v>
      </c>
      <c r="O85" s="11">
        <f>L85*4</f>
        <v>15.2</v>
      </c>
      <c r="P85" s="11">
        <f>M85*4</f>
        <v>33.200000000000003</v>
      </c>
      <c r="Q85" s="11">
        <f>N85*4</f>
        <v>23.6</v>
      </c>
      <c r="R85" s="12">
        <f>4/3*3.14*(Q85/2)*(Q85/2)*(P85/2)</f>
        <v>9676.9943466666682</v>
      </c>
      <c r="S85" s="12">
        <f>R85/1000</f>
        <v>9.6769943466666675</v>
      </c>
    </row>
    <row r="86" spans="1:19" x14ac:dyDescent="0.25">
      <c r="A86" s="7">
        <v>85</v>
      </c>
      <c r="B86" s="8" t="s">
        <v>29</v>
      </c>
      <c r="C86" s="8" t="s">
        <v>323</v>
      </c>
      <c r="D86" s="7" t="s">
        <v>703</v>
      </c>
      <c r="E86" s="8" t="s">
        <v>744</v>
      </c>
      <c r="F86" s="9">
        <v>5</v>
      </c>
      <c r="G86" s="10" t="s">
        <v>25</v>
      </c>
      <c r="H86" s="8" t="s">
        <v>20</v>
      </c>
      <c r="I86" s="8" t="s">
        <v>21</v>
      </c>
      <c r="J86" s="8"/>
      <c r="K86" s="8" t="s">
        <v>110</v>
      </c>
      <c r="L86" s="11">
        <v>2.9</v>
      </c>
      <c r="M86" s="11">
        <v>2.8</v>
      </c>
      <c r="N86" s="11">
        <v>3.6</v>
      </c>
      <c r="O86" s="11">
        <f>L86*4</f>
        <v>11.6</v>
      </c>
      <c r="P86" s="11">
        <f>M86*4</f>
        <v>11.2</v>
      </c>
      <c r="Q86" s="11">
        <f>N86*4</f>
        <v>14.4</v>
      </c>
      <c r="R86" s="12">
        <f>(4/3)*3.14*(Q86/2)^3</f>
        <v>1562.6649600000001</v>
      </c>
      <c r="S86" s="12">
        <f>R86/1000</f>
        <v>1.56266496</v>
      </c>
    </row>
    <row r="87" spans="1:19" x14ac:dyDescent="0.25">
      <c r="A87" s="7">
        <v>86</v>
      </c>
      <c r="B87" s="8" t="s">
        <v>29</v>
      </c>
      <c r="C87" s="8" t="s">
        <v>324</v>
      </c>
      <c r="D87" s="7" t="s">
        <v>703</v>
      </c>
      <c r="E87" s="8" t="s">
        <v>744</v>
      </c>
      <c r="F87" s="9">
        <v>5</v>
      </c>
      <c r="G87" s="10" t="s">
        <v>33</v>
      </c>
      <c r="H87" s="8" t="s">
        <v>154</v>
      </c>
      <c r="I87" s="8" t="s">
        <v>155</v>
      </c>
      <c r="J87" s="8"/>
      <c r="K87" s="8"/>
      <c r="L87" s="11">
        <v>6.7</v>
      </c>
      <c r="M87" s="11">
        <v>8</v>
      </c>
      <c r="N87" s="11">
        <v>9</v>
      </c>
      <c r="O87" s="11">
        <f>L87*4</f>
        <v>26.8</v>
      </c>
      <c r="P87" s="11">
        <f>M87*4</f>
        <v>32</v>
      </c>
      <c r="Q87" s="11">
        <f>N87*4</f>
        <v>36</v>
      </c>
      <c r="R87" s="12">
        <f>(4/3)*3.14*(Q87/2)^3</f>
        <v>24416.639999999999</v>
      </c>
      <c r="S87" s="12">
        <f>R87/1000</f>
        <v>24.416640000000001</v>
      </c>
    </row>
    <row r="88" spans="1:19" x14ac:dyDescent="0.25">
      <c r="A88" s="7">
        <v>87</v>
      </c>
      <c r="B88" s="8" t="s">
        <v>29</v>
      </c>
      <c r="C88" s="8" t="s">
        <v>325</v>
      </c>
      <c r="D88" s="7" t="s">
        <v>703</v>
      </c>
      <c r="E88" s="8" t="s">
        <v>744</v>
      </c>
      <c r="F88" s="9">
        <v>5</v>
      </c>
      <c r="G88" s="10" t="s">
        <v>33</v>
      </c>
      <c r="H88" s="8" t="s">
        <v>154</v>
      </c>
      <c r="I88" s="8" t="s">
        <v>155</v>
      </c>
      <c r="J88" s="8"/>
      <c r="K88" s="8"/>
      <c r="L88" s="11">
        <v>7</v>
      </c>
      <c r="M88" s="11">
        <v>5.5</v>
      </c>
      <c r="N88" s="11">
        <v>7.4</v>
      </c>
      <c r="O88" s="11">
        <f>L88*4</f>
        <v>28</v>
      </c>
      <c r="P88" s="11">
        <f>M88*4</f>
        <v>22</v>
      </c>
      <c r="Q88" s="11">
        <f>N88*4</f>
        <v>29.6</v>
      </c>
      <c r="R88" s="12">
        <f>(4/3)*3.14*(Q88/2)^3</f>
        <v>13572.302506666669</v>
      </c>
      <c r="S88" s="12">
        <f>R88/1000</f>
        <v>13.572302506666668</v>
      </c>
    </row>
    <row r="89" spans="1:19" x14ac:dyDescent="0.25">
      <c r="A89" s="7">
        <v>88</v>
      </c>
      <c r="B89" s="8" t="s">
        <v>29</v>
      </c>
      <c r="C89" s="8" t="s">
        <v>89</v>
      </c>
      <c r="D89" s="7" t="s">
        <v>703</v>
      </c>
      <c r="E89" s="8" t="s">
        <v>744</v>
      </c>
      <c r="F89" s="9">
        <v>2</v>
      </c>
      <c r="G89" s="10" t="s">
        <v>25</v>
      </c>
      <c r="H89" s="8" t="s">
        <v>54</v>
      </c>
      <c r="I89" s="8" t="s">
        <v>55</v>
      </c>
      <c r="J89" s="8"/>
      <c r="K89" s="8"/>
      <c r="L89" s="11">
        <v>5.6</v>
      </c>
      <c r="M89" s="11">
        <v>3.3</v>
      </c>
      <c r="N89" s="11">
        <v>6.3</v>
      </c>
      <c r="O89" s="11">
        <f>L89*4</f>
        <v>22.4</v>
      </c>
      <c r="P89" s="11">
        <f>M89*4</f>
        <v>13.2</v>
      </c>
      <c r="Q89" s="11">
        <f>N89*4</f>
        <v>25.2</v>
      </c>
      <c r="R89" s="12">
        <f>(1/3)*3.14*P89^2*(3*(Q89/2)-P89)</f>
        <v>4486.3315199999997</v>
      </c>
      <c r="S89" s="12">
        <f>R89/1000</f>
        <v>4.4863315199999994</v>
      </c>
    </row>
    <row r="90" spans="1:19" x14ac:dyDescent="0.25">
      <c r="A90" s="7">
        <v>89</v>
      </c>
      <c r="B90" s="8" t="s">
        <v>29</v>
      </c>
      <c r="C90" s="8" t="s">
        <v>90</v>
      </c>
      <c r="D90" s="7" t="s">
        <v>703</v>
      </c>
      <c r="E90" s="8" t="s">
        <v>744</v>
      </c>
      <c r="F90" s="9">
        <v>2</v>
      </c>
      <c r="G90" s="10" t="s">
        <v>25</v>
      </c>
      <c r="H90" s="8" t="s">
        <v>26</v>
      </c>
      <c r="I90" s="8" t="s">
        <v>27</v>
      </c>
      <c r="J90" s="8"/>
      <c r="K90" s="8"/>
      <c r="L90" s="11">
        <v>6.4</v>
      </c>
      <c r="M90" s="11">
        <v>3.3</v>
      </c>
      <c r="N90" s="11">
        <v>6.4</v>
      </c>
      <c r="O90" s="11">
        <f>L90*4</f>
        <v>25.6</v>
      </c>
      <c r="P90" s="11">
        <f>M90*4</f>
        <v>13.2</v>
      </c>
      <c r="Q90" s="11">
        <f>N90*4</f>
        <v>25.6</v>
      </c>
      <c r="R90" s="12">
        <f>(1/3)*3.14*P90^2*(3*(Q90/2)-P90)</f>
        <v>4595.7542400000011</v>
      </c>
      <c r="S90" s="12">
        <f>R90/1000</f>
        <v>4.5957542400000015</v>
      </c>
    </row>
    <row r="91" spans="1:19" x14ac:dyDescent="0.25">
      <c r="A91" s="7">
        <v>90</v>
      </c>
      <c r="B91" s="8" t="s">
        <v>29</v>
      </c>
      <c r="C91" s="8" t="s">
        <v>326</v>
      </c>
      <c r="D91" s="7" t="s">
        <v>703</v>
      </c>
      <c r="E91" s="8" t="s">
        <v>744</v>
      </c>
      <c r="F91" s="9">
        <v>5</v>
      </c>
      <c r="G91" s="10" t="s">
        <v>37</v>
      </c>
      <c r="H91" s="8" t="s">
        <v>54</v>
      </c>
      <c r="I91" s="8" t="s">
        <v>55</v>
      </c>
      <c r="J91" s="8"/>
      <c r="K91" s="8"/>
      <c r="L91" s="11">
        <v>7.6</v>
      </c>
      <c r="M91" s="11">
        <v>8.6</v>
      </c>
      <c r="N91" s="11">
        <v>10.3</v>
      </c>
      <c r="O91" s="11">
        <f>L91*4</f>
        <v>30.4</v>
      </c>
      <c r="P91" s="11">
        <f>M91*4</f>
        <v>34.4</v>
      </c>
      <c r="Q91" s="11">
        <f>N91*4</f>
        <v>41.2</v>
      </c>
      <c r="R91" s="12">
        <f>(4/3)*3.14*(Q91/2)^3</f>
        <v>36599.069653333339</v>
      </c>
      <c r="S91" s="12">
        <f>R91/1000</f>
        <v>36.599069653333338</v>
      </c>
    </row>
    <row r="92" spans="1:19" x14ac:dyDescent="0.25">
      <c r="A92" s="7">
        <v>91</v>
      </c>
      <c r="B92" s="8" t="s">
        <v>29</v>
      </c>
      <c r="C92" s="8" t="s">
        <v>327</v>
      </c>
      <c r="D92" s="7" t="s">
        <v>703</v>
      </c>
      <c r="E92" s="8" t="s">
        <v>744</v>
      </c>
      <c r="F92" s="9">
        <v>5</v>
      </c>
      <c r="G92" s="10" t="s">
        <v>25</v>
      </c>
      <c r="H92" s="8" t="s">
        <v>20</v>
      </c>
      <c r="I92" s="8" t="s">
        <v>21</v>
      </c>
      <c r="J92" s="8"/>
      <c r="K92" s="8"/>
      <c r="L92" s="11">
        <v>2.9</v>
      </c>
      <c r="M92" s="11">
        <v>3.2</v>
      </c>
      <c r="N92" s="11">
        <v>3.6</v>
      </c>
      <c r="O92" s="11">
        <f>L92*4</f>
        <v>11.6</v>
      </c>
      <c r="P92" s="11">
        <f>M92*4</f>
        <v>12.8</v>
      </c>
      <c r="Q92" s="11">
        <f>N92*4</f>
        <v>14.4</v>
      </c>
      <c r="R92" s="12">
        <f>(4/3)*3.14*(Q92/2)^3</f>
        <v>1562.6649600000001</v>
      </c>
      <c r="S92" s="12">
        <f>R92/1000</f>
        <v>1.56266496</v>
      </c>
    </row>
    <row r="93" spans="1:19" x14ac:dyDescent="0.25">
      <c r="A93" s="7">
        <v>92</v>
      </c>
      <c r="B93" s="8" t="s">
        <v>29</v>
      </c>
      <c r="C93" s="8" t="s">
        <v>91</v>
      </c>
      <c r="D93" s="7" t="s">
        <v>703</v>
      </c>
      <c r="E93" s="8" t="s">
        <v>744</v>
      </c>
      <c r="F93" s="9">
        <v>2</v>
      </c>
      <c r="G93" s="10" t="s">
        <v>25</v>
      </c>
      <c r="H93" s="8" t="s">
        <v>92</v>
      </c>
      <c r="I93" s="8" t="s">
        <v>61</v>
      </c>
      <c r="J93" s="8"/>
      <c r="K93" s="8"/>
      <c r="L93" s="11">
        <v>7.2</v>
      </c>
      <c r="M93" s="11">
        <v>3.3</v>
      </c>
      <c r="N93" s="11">
        <v>7.2</v>
      </c>
      <c r="O93" s="11">
        <f>L93*4</f>
        <v>28.8</v>
      </c>
      <c r="P93" s="11">
        <f>M93*4</f>
        <v>13.2</v>
      </c>
      <c r="Q93" s="11">
        <f>N93*4</f>
        <v>28.8</v>
      </c>
      <c r="R93" s="12">
        <f>(1/3)*3.14*P93^2*(3*(Q93/2)-P93)</f>
        <v>5471.1360000000004</v>
      </c>
      <c r="S93" s="12">
        <f>R93/1000</f>
        <v>5.4711360000000004</v>
      </c>
    </row>
    <row r="94" spans="1:19" x14ac:dyDescent="0.25">
      <c r="A94" s="7">
        <v>93</v>
      </c>
      <c r="B94" s="8" t="s">
        <v>29</v>
      </c>
      <c r="C94" s="8" t="s">
        <v>190</v>
      </c>
      <c r="D94" s="7" t="s">
        <v>703</v>
      </c>
      <c r="E94" s="8" t="s">
        <v>744</v>
      </c>
      <c r="F94" s="9">
        <v>4</v>
      </c>
      <c r="G94" s="10" t="s">
        <v>25</v>
      </c>
      <c r="H94" s="8" t="s">
        <v>26</v>
      </c>
      <c r="I94" s="8" t="s">
        <v>27</v>
      </c>
      <c r="J94" s="8"/>
      <c r="K94" s="8"/>
      <c r="L94" s="11">
        <v>5.0999999999999996</v>
      </c>
      <c r="M94" s="11">
        <v>2.8</v>
      </c>
      <c r="N94" s="11">
        <v>5.0999999999999996</v>
      </c>
      <c r="O94" s="11">
        <f>L94*4</f>
        <v>20.399999999999999</v>
      </c>
      <c r="P94" s="11">
        <f>M94*4</f>
        <v>11.2</v>
      </c>
      <c r="Q94" s="11">
        <f>N94*4</f>
        <v>20.399999999999999</v>
      </c>
      <c r="R94" s="12">
        <f>2/3*3.14*(Q94/2)^3</f>
        <v>2221.4620799999998</v>
      </c>
      <c r="S94" s="12">
        <f>R94/1000</f>
        <v>2.2214620799999998</v>
      </c>
    </row>
    <row r="95" spans="1:19" x14ac:dyDescent="0.25">
      <c r="A95" s="7">
        <v>94</v>
      </c>
      <c r="B95" s="8" t="s">
        <v>29</v>
      </c>
      <c r="C95" s="8" t="s">
        <v>93</v>
      </c>
      <c r="D95" s="7" t="s">
        <v>703</v>
      </c>
      <c r="E95" s="8" t="s">
        <v>744</v>
      </c>
      <c r="F95" s="9">
        <v>2</v>
      </c>
      <c r="G95" s="10" t="s">
        <v>25</v>
      </c>
      <c r="H95" s="8" t="s">
        <v>60</v>
      </c>
      <c r="I95" s="8" t="s">
        <v>61</v>
      </c>
      <c r="J95" s="8"/>
      <c r="K95" s="8"/>
      <c r="L95" s="11">
        <v>7</v>
      </c>
      <c r="M95" s="11">
        <v>3.2</v>
      </c>
      <c r="N95" s="11">
        <v>7</v>
      </c>
      <c r="O95" s="11">
        <f>L95*4</f>
        <v>28</v>
      </c>
      <c r="P95" s="11">
        <f>M95*4</f>
        <v>12.8</v>
      </c>
      <c r="Q95" s="11">
        <f>N95*4</f>
        <v>28</v>
      </c>
      <c r="R95" s="12">
        <f>(1/3)*3.14*P95^2*(3*(Q95/2)-P95)</f>
        <v>5007.3873066666665</v>
      </c>
      <c r="S95" s="12">
        <f>R95/1000</f>
        <v>5.0073873066666668</v>
      </c>
    </row>
    <row r="96" spans="1:19" x14ac:dyDescent="0.25">
      <c r="A96" s="7">
        <v>95</v>
      </c>
      <c r="B96" s="8" t="s">
        <v>29</v>
      </c>
      <c r="C96" s="8" t="s">
        <v>191</v>
      </c>
      <c r="D96" s="7" t="s">
        <v>703</v>
      </c>
      <c r="E96" s="8" t="s">
        <v>744</v>
      </c>
      <c r="F96" s="9">
        <v>4</v>
      </c>
      <c r="G96" s="10" t="s">
        <v>25</v>
      </c>
      <c r="H96" s="8" t="s">
        <v>26</v>
      </c>
      <c r="I96" s="8" t="s">
        <v>27</v>
      </c>
      <c r="J96" s="8"/>
      <c r="K96" s="8"/>
      <c r="L96" s="11">
        <v>5.7</v>
      </c>
      <c r="M96" s="11">
        <v>3.4</v>
      </c>
      <c r="N96" s="11">
        <v>5.7</v>
      </c>
      <c r="O96" s="11">
        <f>L96*4</f>
        <v>22.8</v>
      </c>
      <c r="P96" s="11">
        <f>M96*4</f>
        <v>13.6</v>
      </c>
      <c r="Q96" s="11">
        <f>N96*4</f>
        <v>22.8</v>
      </c>
      <c r="R96" s="12">
        <f>2/3*3.14*(Q96/2)^3</f>
        <v>3101.36544</v>
      </c>
      <c r="S96" s="12">
        <f>R96/1000</f>
        <v>3.1013654399999999</v>
      </c>
    </row>
    <row r="97" spans="1:19" x14ac:dyDescent="0.25">
      <c r="A97" s="7">
        <v>96</v>
      </c>
      <c r="B97" s="8" t="s">
        <v>29</v>
      </c>
      <c r="C97" s="8" t="s">
        <v>94</v>
      </c>
      <c r="D97" s="7" t="s">
        <v>703</v>
      </c>
      <c r="E97" s="8" t="s">
        <v>744</v>
      </c>
      <c r="F97" s="9">
        <v>2</v>
      </c>
      <c r="G97" s="10" t="s">
        <v>19</v>
      </c>
      <c r="H97" s="8" t="s">
        <v>20</v>
      </c>
      <c r="I97" s="8" t="s">
        <v>21</v>
      </c>
      <c r="J97" s="8"/>
      <c r="K97" s="8"/>
      <c r="L97" s="11">
        <v>3.8</v>
      </c>
      <c r="M97" s="11">
        <v>1.9</v>
      </c>
      <c r="N97" s="11">
        <v>3.8</v>
      </c>
      <c r="O97" s="11">
        <f>L97*4</f>
        <v>15.2</v>
      </c>
      <c r="P97" s="11">
        <f>M97*4</f>
        <v>7.6</v>
      </c>
      <c r="Q97" s="11">
        <f>N97*4</f>
        <v>15.2</v>
      </c>
      <c r="R97" s="12">
        <f>(1/3)*3.14*P97^2*(3*(Q97/2)-P97)</f>
        <v>918.92309333333321</v>
      </c>
      <c r="S97" s="12">
        <f>R97/1000</f>
        <v>0.91892309333333322</v>
      </c>
    </row>
    <row r="98" spans="1:19" x14ac:dyDescent="0.25">
      <c r="A98" s="7">
        <v>97</v>
      </c>
      <c r="B98" s="8" t="s">
        <v>29</v>
      </c>
      <c r="C98" s="8" t="s">
        <v>95</v>
      </c>
      <c r="D98" s="7" t="s">
        <v>703</v>
      </c>
      <c r="E98" s="8" t="s">
        <v>744</v>
      </c>
      <c r="F98" s="9">
        <v>2</v>
      </c>
      <c r="G98" s="10" t="s">
        <v>19</v>
      </c>
      <c r="H98" s="8" t="s">
        <v>20</v>
      </c>
      <c r="I98" s="8" t="s">
        <v>21</v>
      </c>
      <c r="J98" s="8"/>
      <c r="K98" s="8"/>
      <c r="L98" s="11">
        <v>3.3</v>
      </c>
      <c r="M98" s="11">
        <v>1.5</v>
      </c>
      <c r="N98" s="11">
        <v>3.3</v>
      </c>
      <c r="O98" s="11">
        <f>L98*4</f>
        <v>13.2</v>
      </c>
      <c r="P98" s="11">
        <f>M98*4</f>
        <v>6</v>
      </c>
      <c r="Q98" s="11">
        <f>N98*4</f>
        <v>13.2</v>
      </c>
      <c r="R98" s="12">
        <f>(1/3)*3.14*P98^2*(3*(Q98/2)-P98)</f>
        <v>519.98399999999992</v>
      </c>
      <c r="S98" s="12">
        <f>R98/1000</f>
        <v>0.51998399999999989</v>
      </c>
    </row>
    <row r="99" spans="1:19" x14ac:dyDescent="0.25">
      <c r="A99" s="7">
        <v>98</v>
      </c>
      <c r="B99" s="8" t="s">
        <v>29</v>
      </c>
      <c r="C99" s="8" t="s">
        <v>192</v>
      </c>
      <c r="D99" s="7" t="s">
        <v>703</v>
      </c>
      <c r="E99" s="8" t="s">
        <v>744</v>
      </c>
      <c r="F99" s="9">
        <v>4</v>
      </c>
      <c r="G99" s="10" t="s">
        <v>19</v>
      </c>
      <c r="H99" s="8" t="s">
        <v>26</v>
      </c>
      <c r="I99" s="8" t="s">
        <v>27</v>
      </c>
      <c r="J99" s="8"/>
      <c r="K99" s="8"/>
      <c r="L99" s="11">
        <v>3.2</v>
      </c>
      <c r="M99" s="11">
        <v>2</v>
      </c>
      <c r="N99" s="11">
        <v>3.2</v>
      </c>
      <c r="O99" s="11">
        <f>L99*4</f>
        <v>12.8</v>
      </c>
      <c r="P99" s="11">
        <f>M99*4</f>
        <v>8</v>
      </c>
      <c r="Q99" s="11">
        <f>N99*4</f>
        <v>12.8</v>
      </c>
      <c r="R99" s="12">
        <f>2/3*3.14*(Q99/2)^3</f>
        <v>548.75477333333345</v>
      </c>
      <c r="S99" s="12">
        <f>R99/1000</f>
        <v>0.54875477333333345</v>
      </c>
    </row>
    <row r="100" spans="1:19" x14ac:dyDescent="0.25">
      <c r="A100" s="7">
        <v>99</v>
      </c>
      <c r="B100" s="8" t="s">
        <v>29</v>
      </c>
      <c r="C100" s="8" t="s">
        <v>160</v>
      </c>
      <c r="D100" s="7" t="s">
        <v>703</v>
      </c>
      <c r="E100" s="8" t="s">
        <v>744</v>
      </c>
      <c r="F100" s="9">
        <v>3</v>
      </c>
      <c r="G100" s="10" t="s">
        <v>25</v>
      </c>
      <c r="H100" s="8" t="s">
        <v>20</v>
      </c>
      <c r="I100" s="8" t="s">
        <v>21</v>
      </c>
      <c r="J100" s="8"/>
      <c r="K100" s="8"/>
      <c r="L100" s="11">
        <v>3.6</v>
      </c>
      <c r="M100" s="11">
        <v>2.5</v>
      </c>
      <c r="N100" s="11">
        <v>4.4000000000000004</v>
      </c>
      <c r="O100" s="11">
        <f>L100*4</f>
        <v>14.4</v>
      </c>
      <c r="P100" s="11">
        <f>M100*4</f>
        <v>10</v>
      </c>
      <c r="Q100" s="11">
        <f>N100*4</f>
        <v>17.600000000000001</v>
      </c>
      <c r="R100" s="12">
        <f>4/3*3.14*(Q100/2)*(Q100/2)*(P100/2)</f>
        <v>1621.0773333333336</v>
      </c>
      <c r="S100" s="12">
        <f>R100/1000</f>
        <v>1.6210773333333337</v>
      </c>
    </row>
    <row r="101" spans="1:19" x14ac:dyDescent="0.25">
      <c r="A101" s="7">
        <v>100</v>
      </c>
      <c r="B101" s="8" t="s">
        <v>29</v>
      </c>
      <c r="C101" s="8" t="s">
        <v>30</v>
      </c>
      <c r="D101" s="7" t="s">
        <v>703</v>
      </c>
      <c r="E101" s="8" t="s">
        <v>744</v>
      </c>
      <c r="F101" s="9">
        <v>1</v>
      </c>
      <c r="G101" s="10" t="s">
        <v>25</v>
      </c>
      <c r="H101" s="8" t="s">
        <v>20</v>
      </c>
      <c r="I101" s="8" t="s">
        <v>21</v>
      </c>
      <c r="J101" s="8"/>
      <c r="K101" s="8"/>
      <c r="L101" s="11">
        <v>5.8</v>
      </c>
      <c r="M101" s="11">
        <v>1.8</v>
      </c>
      <c r="N101" s="11">
        <v>5.8</v>
      </c>
      <c r="O101" s="11">
        <f>L101*4</f>
        <v>23.2</v>
      </c>
      <c r="P101" s="11">
        <f>M101*4</f>
        <v>7.2</v>
      </c>
      <c r="Q101" s="11">
        <f>N101*4</f>
        <v>23.2</v>
      </c>
      <c r="R101" s="12">
        <f>(1/3)*3.14*P101^2*(3*(Q101/2)-P101)</f>
        <v>1497.5539199999998</v>
      </c>
      <c r="S101" s="12">
        <f>R101/1000</f>
        <v>1.4975539199999999</v>
      </c>
    </row>
    <row r="102" spans="1:19" x14ac:dyDescent="0.25">
      <c r="A102" s="7">
        <v>101</v>
      </c>
      <c r="B102" s="8" t="s">
        <v>29</v>
      </c>
      <c r="C102" s="8" t="s">
        <v>96</v>
      </c>
      <c r="D102" s="7" t="s">
        <v>703</v>
      </c>
      <c r="E102" s="8" t="s">
        <v>744</v>
      </c>
      <c r="F102" s="9">
        <v>2</v>
      </c>
      <c r="G102" s="10" t="s">
        <v>19</v>
      </c>
      <c r="H102" s="8" t="s">
        <v>20</v>
      </c>
      <c r="I102" s="8" t="s">
        <v>21</v>
      </c>
      <c r="J102" s="8"/>
      <c r="K102" s="8"/>
      <c r="L102" s="11">
        <v>4.3</v>
      </c>
      <c r="M102" s="11">
        <v>1.7</v>
      </c>
      <c r="N102" s="11">
        <v>4.3</v>
      </c>
      <c r="O102" s="11">
        <f>L102*4</f>
        <v>17.2</v>
      </c>
      <c r="P102" s="11">
        <f>M102*4</f>
        <v>6.8</v>
      </c>
      <c r="Q102" s="11">
        <f>N102*4</f>
        <v>17.2</v>
      </c>
      <c r="R102" s="12">
        <f>(1/3)*3.14*P102^2*(3*(Q102/2)-P102)</f>
        <v>919.55946666666637</v>
      </c>
      <c r="S102" s="12">
        <f>R102/1000</f>
        <v>0.91955946666666633</v>
      </c>
    </row>
    <row r="103" spans="1:19" x14ac:dyDescent="0.25">
      <c r="A103" s="7">
        <v>102</v>
      </c>
      <c r="B103" s="8" t="s">
        <v>29</v>
      </c>
      <c r="C103" s="8" t="s">
        <v>97</v>
      </c>
      <c r="D103" s="7" t="s">
        <v>703</v>
      </c>
      <c r="E103" s="8" t="s">
        <v>744</v>
      </c>
      <c r="F103" s="9">
        <v>2</v>
      </c>
      <c r="G103" s="10" t="s">
        <v>25</v>
      </c>
      <c r="H103" s="8" t="s">
        <v>20</v>
      </c>
      <c r="I103" s="8" t="s">
        <v>21</v>
      </c>
      <c r="J103" s="8"/>
      <c r="K103" s="8"/>
      <c r="L103" s="11">
        <v>4.8</v>
      </c>
      <c r="M103" s="11">
        <v>2.4</v>
      </c>
      <c r="N103" s="11">
        <v>4.8</v>
      </c>
      <c r="O103" s="11">
        <f>L103*4</f>
        <v>19.2</v>
      </c>
      <c r="P103" s="11">
        <f>M103*4</f>
        <v>9.6</v>
      </c>
      <c r="Q103" s="11">
        <f>N103*4</f>
        <v>19.2</v>
      </c>
      <c r="R103" s="12">
        <f>(1/3)*3.14*P103^2*(3*(Q103/2)-P103)</f>
        <v>1852.0473599999993</v>
      </c>
      <c r="S103" s="12">
        <f>R103/1000</f>
        <v>1.8520473599999994</v>
      </c>
    </row>
    <row r="104" spans="1:19" x14ac:dyDescent="0.25">
      <c r="A104" s="7">
        <v>103</v>
      </c>
      <c r="B104" s="8" t="s">
        <v>29</v>
      </c>
      <c r="C104" s="8" t="s">
        <v>193</v>
      </c>
      <c r="D104" s="7" t="s">
        <v>703</v>
      </c>
      <c r="E104" s="8" t="s">
        <v>744</v>
      </c>
      <c r="F104" s="9">
        <v>4</v>
      </c>
      <c r="G104" s="10" t="s">
        <v>19</v>
      </c>
      <c r="H104" s="8" t="s">
        <v>154</v>
      </c>
      <c r="I104" s="8" t="s">
        <v>155</v>
      </c>
      <c r="J104" s="8"/>
      <c r="K104" s="8"/>
      <c r="L104" s="11">
        <v>3.3</v>
      </c>
      <c r="M104" s="11">
        <v>2.1</v>
      </c>
      <c r="N104" s="11">
        <v>3.3</v>
      </c>
      <c r="O104" s="11">
        <f>L104*4</f>
        <v>13.2</v>
      </c>
      <c r="P104" s="11">
        <f>M104*4</f>
        <v>8.4</v>
      </c>
      <c r="Q104" s="11">
        <f>N104*4</f>
        <v>13.2</v>
      </c>
      <c r="R104" s="12">
        <f>2/3*3.14*(Q104/2)^3</f>
        <v>601.82495999999992</v>
      </c>
      <c r="S104" s="12">
        <f>R104/1000</f>
        <v>0.60182495999999996</v>
      </c>
    </row>
    <row r="105" spans="1:19" x14ac:dyDescent="0.25">
      <c r="A105" s="7">
        <v>104</v>
      </c>
      <c r="B105" s="8" t="s">
        <v>29</v>
      </c>
      <c r="C105" s="8" t="s">
        <v>98</v>
      </c>
      <c r="D105" s="7" t="s">
        <v>703</v>
      </c>
      <c r="E105" s="8" t="s">
        <v>744</v>
      </c>
      <c r="F105" s="9">
        <v>2</v>
      </c>
      <c r="G105" s="10" t="s">
        <v>25</v>
      </c>
      <c r="H105" s="8" t="s">
        <v>26</v>
      </c>
      <c r="I105" s="8" t="s">
        <v>27</v>
      </c>
      <c r="J105" s="8"/>
      <c r="K105" s="8"/>
      <c r="L105" s="11">
        <v>4.3</v>
      </c>
      <c r="M105" s="11">
        <v>2.2000000000000002</v>
      </c>
      <c r="N105" s="11">
        <v>4.3</v>
      </c>
      <c r="O105" s="11">
        <f>L105*4</f>
        <v>17.2</v>
      </c>
      <c r="P105" s="11">
        <f>M105*4</f>
        <v>8.8000000000000007</v>
      </c>
      <c r="Q105" s="11">
        <f>N105*4</f>
        <v>17.2</v>
      </c>
      <c r="R105" s="12">
        <f>(1/3)*3.14*P105^2*(3*(Q105/2)-P105)</f>
        <v>1377.9157333333333</v>
      </c>
      <c r="S105" s="12">
        <f>R105/1000</f>
        <v>1.3779157333333332</v>
      </c>
    </row>
    <row r="106" spans="1:19" x14ac:dyDescent="0.25">
      <c r="A106" s="7">
        <v>105</v>
      </c>
      <c r="B106" s="8" t="s">
        <v>29</v>
      </c>
      <c r="C106" s="8" t="s">
        <v>194</v>
      </c>
      <c r="D106" s="7" t="s">
        <v>703</v>
      </c>
      <c r="E106" s="8" t="s">
        <v>744</v>
      </c>
      <c r="F106" s="9">
        <v>4</v>
      </c>
      <c r="G106" s="10" t="s">
        <v>25</v>
      </c>
      <c r="H106" s="8" t="s">
        <v>26</v>
      </c>
      <c r="I106" s="8" t="s">
        <v>27</v>
      </c>
      <c r="J106" s="8"/>
      <c r="K106" s="8"/>
      <c r="L106" s="11">
        <v>4.9000000000000004</v>
      </c>
      <c r="M106" s="11">
        <v>3.2</v>
      </c>
      <c r="N106" s="11">
        <v>4.9000000000000004</v>
      </c>
      <c r="O106" s="11">
        <f>L106*4</f>
        <v>19.600000000000001</v>
      </c>
      <c r="P106" s="11">
        <f>M106*4</f>
        <v>12.8</v>
      </c>
      <c r="Q106" s="11">
        <f>N106*4</f>
        <v>19.600000000000001</v>
      </c>
      <c r="R106" s="12">
        <f>2/3*3.14*(Q106/2)^3</f>
        <v>1970.2285866666671</v>
      </c>
      <c r="S106" s="12">
        <f>R106/1000</f>
        <v>1.9702285866666671</v>
      </c>
    </row>
    <row r="107" spans="1:19" x14ac:dyDescent="0.25">
      <c r="A107" s="7">
        <v>106</v>
      </c>
      <c r="B107" s="8" t="s">
        <v>29</v>
      </c>
      <c r="C107" s="8" t="s">
        <v>195</v>
      </c>
      <c r="D107" s="7" t="s">
        <v>703</v>
      </c>
      <c r="E107" s="8" t="s">
        <v>744</v>
      </c>
      <c r="F107" s="9">
        <v>4</v>
      </c>
      <c r="G107" s="10" t="s">
        <v>25</v>
      </c>
      <c r="H107" s="8" t="s">
        <v>154</v>
      </c>
      <c r="I107" s="8" t="s">
        <v>155</v>
      </c>
      <c r="J107" s="8"/>
      <c r="K107" s="8"/>
      <c r="L107" s="11">
        <v>4.0999999999999996</v>
      </c>
      <c r="M107" s="11">
        <v>2.5</v>
      </c>
      <c r="N107" s="11">
        <v>4.0999999999999996</v>
      </c>
      <c r="O107" s="11">
        <f>L107*4</f>
        <v>16.399999999999999</v>
      </c>
      <c r="P107" s="11">
        <f>M107*4</f>
        <v>10</v>
      </c>
      <c r="Q107" s="11">
        <f>N107*4</f>
        <v>16.399999999999999</v>
      </c>
      <c r="R107" s="12">
        <f>2/3*3.14*(Q107/2)^3</f>
        <v>1154.1970133333332</v>
      </c>
      <c r="S107" s="12">
        <f>R107/1000</f>
        <v>1.1541970133333332</v>
      </c>
    </row>
    <row r="108" spans="1:19" x14ac:dyDescent="0.25">
      <c r="A108" s="7">
        <v>107</v>
      </c>
      <c r="B108" s="8" t="s">
        <v>29</v>
      </c>
      <c r="C108" s="8" t="s">
        <v>99</v>
      </c>
      <c r="D108" s="7" t="s">
        <v>703</v>
      </c>
      <c r="E108" s="8" t="s">
        <v>744</v>
      </c>
      <c r="F108" s="9">
        <v>2</v>
      </c>
      <c r="G108" s="10" t="s">
        <v>25</v>
      </c>
      <c r="H108" s="8" t="s">
        <v>100</v>
      </c>
      <c r="I108" s="8" t="s">
        <v>21</v>
      </c>
      <c r="J108" s="8"/>
      <c r="K108" s="8"/>
      <c r="L108" s="11">
        <v>6.5</v>
      </c>
      <c r="M108" s="11">
        <v>3.8</v>
      </c>
      <c r="N108" s="11">
        <v>6.5</v>
      </c>
      <c r="O108" s="11">
        <f>L108*4</f>
        <v>26</v>
      </c>
      <c r="P108" s="11">
        <f>M108*4</f>
        <v>15.2</v>
      </c>
      <c r="Q108" s="11">
        <f>N108*4</f>
        <v>26</v>
      </c>
      <c r="R108" s="12">
        <f>(1/3)*3.14*P108^2*(3*(Q108/2)-P108)</f>
        <v>5755.3604266666671</v>
      </c>
      <c r="S108" s="12">
        <f>R108/1000</f>
        <v>5.7553604266666669</v>
      </c>
    </row>
    <row r="109" spans="1:19" x14ac:dyDescent="0.25">
      <c r="A109" s="7">
        <v>108</v>
      </c>
      <c r="B109" s="8" t="s">
        <v>29</v>
      </c>
      <c r="C109" s="8" t="s">
        <v>101</v>
      </c>
      <c r="D109" s="7" t="s">
        <v>703</v>
      </c>
      <c r="E109" s="8" t="s">
        <v>744</v>
      </c>
      <c r="F109" s="9">
        <v>2</v>
      </c>
      <c r="G109" s="10" t="s">
        <v>25</v>
      </c>
      <c r="H109" s="8" t="s">
        <v>100</v>
      </c>
      <c r="I109" s="8" t="s">
        <v>21</v>
      </c>
      <c r="J109" s="8"/>
      <c r="K109" s="8"/>
      <c r="L109" s="11">
        <v>8.1999999999999993</v>
      </c>
      <c r="M109" s="11">
        <v>2.9</v>
      </c>
      <c r="N109" s="11">
        <v>8.1999999999999993</v>
      </c>
      <c r="O109" s="11">
        <f>L109*4</f>
        <v>32.799999999999997</v>
      </c>
      <c r="P109" s="11">
        <f>M109*4</f>
        <v>11.6</v>
      </c>
      <c r="Q109" s="11">
        <f>N109*4</f>
        <v>32.799999999999997</v>
      </c>
      <c r="R109" s="12">
        <f>(1/3)*3.14*P109^2*(3*(Q109/2)-P109)</f>
        <v>5295.5639466666653</v>
      </c>
      <c r="S109" s="12">
        <f>R109/1000</f>
        <v>5.2955639466666655</v>
      </c>
    </row>
    <row r="110" spans="1:19" x14ac:dyDescent="0.25">
      <c r="A110" s="7">
        <v>109</v>
      </c>
      <c r="B110" s="8" t="s">
        <v>31</v>
      </c>
      <c r="C110" s="8" t="s">
        <v>196</v>
      </c>
      <c r="D110" s="7" t="s">
        <v>704</v>
      </c>
      <c r="E110" s="8" t="s">
        <v>745</v>
      </c>
      <c r="F110" s="9">
        <v>4</v>
      </c>
      <c r="G110" s="10" t="s">
        <v>25</v>
      </c>
      <c r="H110" s="8" t="s">
        <v>20</v>
      </c>
      <c r="I110" s="8" t="s">
        <v>21</v>
      </c>
      <c r="J110" s="8" t="s">
        <v>22</v>
      </c>
      <c r="K110" s="8"/>
      <c r="L110" s="11">
        <v>5.9</v>
      </c>
      <c r="M110" s="11">
        <v>3.4</v>
      </c>
      <c r="N110" s="11">
        <v>5.9</v>
      </c>
      <c r="O110" s="11">
        <f>L110*4</f>
        <v>23.6</v>
      </c>
      <c r="P110" s="11">
        <f>M110*4</f>
        <v>13.6</v>
      </c>
      <c r="Q110" s="11">
        <f>N110*4</f>
        <v>23.6</v>
      </c>
      <c r="R110" s="12">
        <f>2/3*3.14*(Q110/2)^3</f>
        <v>3439.4136533333335</v>
      </c>
      <c r="S110" s="12">
        <f>R110/1000</f>
        <v>3.4394136533333337</v>
      </c>
    </row>
    <row r="111" spans="1:19" x14ac:dyDescent="0.25">
      <c r="A111" s="7">
        <v>110</v>
      </c>
      <c r="B111" s="8" t="s">
        <v>31</v>
      </c>
      <c r="C111" s="8" t="s">
        <v>102</v>
      </c>
      <c r="D111" s="7" t="s">
        <v>704</v>
      </c>
      <c r="E111" s="8" t="s">
        <v>745</v>
      </c>
      <c r="F111" s="9">
        <v>2</v>
      </c>
      <c r="G111" s="10" t="s">
        <v>25</v>
      </c>
      <c r="H111" s="8" t="s">
        <v>20</v>
      </c>
      <c r="I111" s="8" t="s">
        <v>21</v>
      </c>
      <c r="J111" s="8" t="s">
        <v>22</v>
      </c>
      <c r="K111" s="8"/>
      <c r="L111" s="11">
        <v>6.2</v>
      </c>
      <c r="M111" s="11">
        <v>2.4</v>
      </c>
      <c r="N111" s="11">
        <v>6.2</v>
      </c>
      <c r="O111" s="11">
        <f>L111*4</f>
        <v>24.8</v>
      </c>
      <c r="P111" s="11">
        <f>M111*4</f>
        <v>9.6</v>
      </c>
      <c r="Q111" s="11">
        <f>N111*4</f>
        <v>24.8</v>
      </c>
      <c r="R111" s="12">
        <f>(1/3)*3.14*P111^2*(3*(Q111/2)-P111)</f>
        <v>2662.31808</v>
      </c>
      <c r="S111" s="12">
        <f>R111/1000</f>
        <v>2.6623180799999999</v>
      </c>
    </row>
    <row r="112" spans="1:19" x14ac:dyDescent="0.25">
      <c r="A112" s="7">
        <v>111</v>
      </c>
      <c r="B112" s="8" t="s">
        <v>31</v>
      </c>
      <c r="C112" s="8" t="s">
        <v>161</v>
      </c>
      <c r="D112" s="7" t="s">
        <v>704</v>
      </c>
      <c r="E112" s="8" t="s">
        <v>745</v>
      </c>
      <c r="F112" s="9">
        <v>3</v>
      </c>
      <c r="G112" s="10" t="s">
        <v>25</v>
      </c>
      <c r="H112" s="8" t="s">
        <v>20</v>
      </c>
      <c r="I112" s="8" t="s">
        <v>21</v>
      </c>
      <c r="J112" s="8" t="s">
        <v>22</v>
      </c>
      <c r="K112" s="8"/>
      <c r="L112" s="11">
        <v>4.5999999999999996</v>
      </c>
      <c r="M112" s="11">
        <v>2.2999999999999998</v>
      </c>
      <c r="N112" s="11">
        <v>5.9</v>
      </c>
      <c r="O112" s="11">
        <f>L112*4</f>
        <v>18.399999999999999</v>
      </c>
      <c r="P112" s="11">
        <f>M112*4</f>
        <v>9.1999999999999993</v>
      </c>
      <c r="Q112" s="11">
        <f>N112*4</f>
        <v>23.6</v>
      </c>
      <c r="R112" s="12">
        <f>4/3*3.14*(Q112/2)*(Q112/2)*(P112/2)</f>
        <v>2681.5767466666671</v>
      </c>
      <c r="S112" s="12">
        <f>R112/1000</f>
        <v>2.6815767466666669</v>
      </c>
    </row>
    <row r="113" spans="1:19" x14ac:dyDescent="0.25">
      <c r="A113" s="7">
        <v>112</v>
      </c>
      <c r="B113" s="8" t="s">
        <v>31</v>
      </c>
      <c r="C113" s="8" t="s">
        <v>103</v>
      </c>
      <c r="D113" s="7" t="s">
        <v>704</v>
      </c>
      <c r="E113" s="8" t="s">
        <v>745</v>
      </c>
      <c r="F113" s="9">
        <v>2</v>
      </c>
      <c r="G113" s="10" t="s">
        <v>25</v>
      </c>
      <c r="H113" s="8" t="s">
        <v>20</v>
      </c>
      <c r="I113" s="8" t="s">
        <v>21</v>
      </c>
      <c r="J113" s="8" t="s">
        <v>22</v>
      </c>
      <c r="K113" s="8"/>
      <c r="L113" s="11">
        <v>5.7</v>
      </c>
      <c r="M113" s="11">
        <v>2.2999999999999998</v>
      </c>
      <c r="N113" s="11">
        <v>5.7</v>
      </c>
      <c r="O113" s="11">
        <f>L113*4</f>
        <v>22.8</v>
      </c>
      <c r="P113" s="11">
        <f>M113*4</f>
        <v>9.1999999999999993</v>
      </c>
      <c r="Q113" s="11">
        <f>N113*4</f>
        <v>22.8</v>
      </c>
      <c r="R113" s="12">
        <f>(1/3)*3.14*P113^2*(3*(Q113/2)-P113)</f>
        <v>2214.7466666666664</v>
      </c>
      <c r="S113" s="12">
        <f>R113/1000</f>
        <v>2.2147466666666666</v>
      </c>
    </row>
    <row r="114" spans="1:19" x14ac:dyDescent="0.25">
      <c r="A114" s="7">
        <v>113</v>
      </c>
      <c r="B114" s="8" t="s">
        <v>31</v>
      </c>
      <c r="C114" s="8" t="s">
        <v>32</v>
      </c>
      <c r="D114" s="7" t="s">
        <v>704</v>
      </c>
      <c r="E114" s="8" t="s">
        <v>745</v>
      </c>
      <c r="F114" s="9">
        <v>1</v>
      </c>
      <c r="G114" s="10" t="s">
        <v>25</v>
      </c>
      <c r="H114" s="8" t="s">
        <v>20</v>
      </c>
      <c r="I114" s="8" t="s">
        <v>21</v>
      </c>
      <c r="J114" s="8" t="s">
        <v>22</v>
      </c>
      <c r="K114" s="8"/>
      <c r="L114" s="11">
        <v>6.5</v>
      </c>
      <c r="M114" s="11">
        <v>1.7</v>
      </c>
      <c r="N114" s="11">
        <v>6.5</v>
      </c>
      <c r="O114" s="11">
        <f>L114*4</f>
        <v>26</v>
      </c>
      <c r="P114" s="11">
        <f>M114*4</f>
        <v>6.8</v>
      </c>
      <c r="Q114" s="11">
        <f>N114*4</f>
        <v>26</v>
      </c>
      <c r="R114" s="12">
        <f>(1/3)*3.14*P114^2*(3*(Q114/2)-P114)</f>
        <v>1558.4113066666666</v>
      </c>
      <c r="S114" s="12">
        <f>R114/1000</f>
        <v>1.5584113066666667</v>
      </c>
    </row>
    <row r="115" spans="1:19" x14ac:dyDescent="0.25">
      <c r="A115" s="7">
        <v>114</v>
      </c>
      <c r="B115" s="8" t="s">
        <v>31</v>
      </c>
      <c r="C115" s="8" t="s">
        <v>34</v>
      </c>
      <c r="D115" s="7" t="s">
        <v>704</v>
      </c>
      <c r="E115" s="8" t="s">
        <v>745</v>
      </c>
      <c r="F115" s="9">
        <v>1</v>
      </c>
      <c r="G115" s="10" t="s">
        <v>25</v>
      </c>
      <c r="H115" s="8" t="s">
        <v>20</v>
      </c>
      <c r="I115" s="8" t="s">
        <v>21</v>
      </c>
      <c r="J115" s="8" t="s">
        <v>22</v>
      </c>
      <c r="K115" s="8"/>
      <c r="L115" s="11">
        <v>6.7</v>
      </c>
      <c r="M115" s="11">
        <v>1.7</v>
      </c>
      <c r="N115" s="11">
        <v>6.7</v>
      </c>
      <c r="O115" s="11">
        <f>L115*4</f>
        <v>26.8</v>
      </c>
      <c r="P115" s="11">
        <f>M115*4</f>
        <v>6.8</v>
      </c>
      <c r="Q115" s="11">
        <f>N115*4</f>
        <v>26.8</v>
      </c>
      <c r="R115" s="12">
        <f>(1/3)*3.14*P115^2*(3*(Q115/2)-P115)</f>
        <v>1616.4887466666667</v>
      </c>
      <c r="S115" s="12">
        <f>R115/1000</f>
        <v>1.6164887466666666</v>
      </c>
    </row>
    <row r="116" spans="1:19" x14ac:dyDescent="0.25">
      <c r="A116" s="7">
        <v>115</v>
      </c>
      <c r="B116" s="8" t="s">
        <v>31</v>
      </c>
      <c r="C116" s="8" t="s">
        <v>162</v>
      </c>
      <c r="D116" s="7" t="s">
        <v>704</v>
      </c>
      <c r="E116" s="8" t="s">
        <v>745</v>
      </c>
      <c r="F116" s="9">
        <v>3</v>
      </c>
      <c r="G116" s="10" t="s">
        <v>25</v>
      </c>
      <c r="H116" s="8" t="s">
        <v>20</v>
      </c>
      <c r="I116" s="8" t="s">
        <v>21</v>
      </c>
      <c r="J116" s="8" t="s">
        <v>22</v>
      </c>
      <c r="K116" s="8"/>
      <c r="L116" s="11">
        <v>3.6</v>
      </c>
      <c r="M116" s="11">
        <v>2.6</v>
      </c>
      <c r="N116" s="11">
        <v>5</v>
      </c>
      <c r="O116" s="11">
        <f>L116*4</f>
        <v>14.4</v>
      </c>
      <c r="P116" s="11">
        <f>M116*4</f>
        <v>10.4</v>
      </c>
      <c r="Q116" s="11">
        <f>N116*4</f>
        <v>20</v>
      </c>
      <c r="R116" s="12">
        <f>4/3*3.14*(Q116/2)*(Q116/2)*(P116/2)</f>
        <v>2177.0666666666671</v>
      </c>
      <c r="S116" s="12">
        <f>R116/1000</f>
        <v>2.1770666666666671</v>
      </c>
    </row>
    <row r="117" spans="1:19" x14ac:dyDescent="0.25">
      <c r="A117" s="7">
        <v>116</v>
      </c>
      <c r="B117" s="8" t="s">
        <v>31</v>
      </c>
      <c r="C117" s="8" t="s">
        <v>163</v>
      </c>
      <c r="D117" s="7" t="s">
        <v>704</v>
      </c>
      <c r="E117" s="8" t="s">
        <v>745</v>
      </c>
      <c r="F117" s="9">
        <v>3</v>
      </c>
      <c r="G117" s="10" t="s">
        <v>25</v>
      </c>
      <c r="H117" s="8" t="s">
        <v>20</v>
      </c>
      <c r="I117" s="8" t="s">
        <v>21</v>
      </c>
      <c r="J117" s="8" t="s">
        <v>22</v>
      </c>
      <c r="K117" s="8"/>
      <c r="L117" s="11">
        <v>3.8</v>
      </c>
      <c r="M117" s="11">
        <v>3.1</v>
      </c>
      <c r="N117" s="11">
        <v>5</v>
      </c>
      <c r="O117" s="11">
        <f>L117*4</f>
        <v>15.2</v>
      </c>
      <c r="P117" s="11">
        <f>M117*4</f>
        <v>12.4</v>
      </c>
      <c r="Q117" s="11">
        <f>N117*4</f>
        <v>20</v>
      </c>
      <c r="R117" s="12">
        <f>4/3*3.14*(Q117/2)*(Q117/2)*(P117/2)</f>
        <v>2595.7333333333336</v>
      </c>
      <c r="S117" s="12">
        <f>R117/1000</f>
        <v>2.5957333333333334</v>
      </c>
    </row>
    <row r="118" spans="1:19" x14ac:dyDescent="0.25">
      <c r="A118" s="7">
        <v>117</v>
      </c>
      <c r="B118" s="8" t="s">
        <v>31</v>
      </c>
      <c r="C118" s="8" t="s">
        <v>545</v>
      </c>
      <c r="D118" s="7" t="s">
        <v>704</v>
      </c>
      <c r="E118" s="8" t="s">
        <v>745</v>
      </c>
      <c r="F118" s="9">
        <v>7</v>
      </c>
      <c r="G118" s="10" t="s">
        <v>33</v>
      </c>
      <c r="H118" s="8" t="s">
        <v>20</v>
      </c>
      <c r="I118" s="8" t="s">
        <v>21</v>
      </c>
      <c r="J118" s="8" t="s">
        <v>22</v>
      </c>
      <c r="K118" s="8"/>
      <c r="L118" s="11">
        <v>6.5</v>
      </c>
      <c r="M118" s="11">
        <v>4.7</v>
      </c>
      <c r="N118" s="11">
        <v>8.8000000000000007</v>
      </c>
      <c r="O118" s="11">
        <f>L118*4</f>
        <v>26</v>
      </c>
      <c r="P118" s="11">
        <f>M118*4</f>
        <v>18.8</v>
      </c>
      <c r="Q118" s="11">
        <f>N118*4</f>
        <v>35.200000000000003</v>
      </c>
      <c r="R118" s="12">
        <f>4/3*3.14*(Q118/2)*(Q118/2)*(P118/2)</f>
        <v>12190.501546666668</v>
      </c>
      <c r="S118" s="12">
        <f>R118/1000</f>
        <v>12.190501546666669</v>
      </c>
    </row>
    <row r="119" spans="1:19" x14ac:dyDescent="0.25">
      <c r="A119" s="7">
        <v>118</v>
      </c>
      <c r="B119" s="8" t="s">
        <v>31</v>
      </c>
      <c r="C119" s="8" t="s">
        <v>328</v>
      </c>
      <c r="D119" s="7" t="s">
        <v>704</v>
      </c>
      <c r="E119" s="8" t="s">
        <v>745</v>
      </c>
      <c r="F119" s="9">
        <v>5</v>
      </c>
      <c r="G119" s="10" t="s">
        <v>33</v>
      </c>
      <c r="H119" s="8" t="s">
        <v>294</v>
      </c>
      <c r="I119" s="8" t="s">
        <v>295</v>
      </c>
      <c r="J119" s="8" t="s">
        <v>22</v>
      </c>
      <c r="K119" s="8"/>
      <c r="L119" s="11">
        <v>4.5</v>
      </c>
      <c r="M119" s="11">
        <v>6</v>
      </c>
      <c r="N119" s="11">
        <v>7.2</v>
      </c>
      <c r="O119" s="11">
        <f>L119*4</f>
        <v>18</v>
      </c>
      <c r="P119" s="11">
        <f>M119*4</f>
        <v>24</v>
      </c>
      <c r="Q119" s="11">
        <f>N119*4</f>
        <v>28.8</v>
      </c>
      <c r="R119" s="12">
        <f>(4/3)*3.14*(Q119/2)^3</f>
        <v>12501.319680000001</v>
      </c>
      <c r="S119" s="12">
        <f>R119/1000</f>
        <v>12.50131968</v>
      </c>
    </row>
    <row r="120" spans="1:19" x14ac:dyDescent="0.25">
      <c r="A120" s="7">
        <v>119</v>
      </c>
      <c r="B120" s="8" t="s">
        <v>31</v>
      </c>
      <c r="C120" s="8" t="s">
        <v>516</v>
      </c>
      <c r="D120" s="7" t="s">
        <v>704</v>
      </c>
      <c r="E120" s="8" t="s">
        <v>745</v>
      </c>
      <c r="F120" s="9">
        <v>6</v>
      </c>
      <c r="G120" s="10" t="s">
        <v>37</v>
      </c>
      <c r="H120" s="8" t="s">
        <v>294</v>
      </c>
      <c r="I120" s="8" t="s">
        <v>295</v>
      </c>
      <c r="J120" s="8" t="s">
        <v>22</v>
      </c>
      <c r="K120" s="8"/>
      <c r="L120" s="11">
        <v>4.7</v>
      </c>
      <c r="M120" s="11">
        <v>10.3</v>
      </c>
      <c r="N120" s="11">
        <v>11.2</v>
      </c>
      <c r="O120" s="11">
        <f>L120*4</f>
        <v>18.8</v>
      </c>
      <c r="P120" s="11">
        <f>M120*4</f>
        <v>41.2</v>
      </c>
      <c r="Q120" s="11">
        <f>N120*4</f>
        <v>44.8</v>
      </c>
      <c r="R120" s="12">
        <f>(4/3)*3.14*(Q120/2)^3</f>
        <v>47055.721813333323</v>
      </c>
      <c r="S120" s="12">
        <f>R120/1000</f>
        <v>47.055721813333321</v>
      </c>
    </row>
    <row r="121" spans="1:19" x14ac:dyDescent="0.25">
      <c r="A121" s="7">
        <v>120</v>
      </c>
      <c r="B121" s="8" t="s">
        <v>31</v>
      </c>
      <c r="C121" s="8" t="s">
        <v>104</v>
      </c>
      <c r="D121" s="7" t="s">
        <v>704</v>
      </c>
      <c r="E121" s="8" t="s">
        <v>745</v>
      </c>
      <c r="F121" s="9">
        <v>2</v>
      </c>
      <c r="G121" s="10" t="s">
        <v>33</v>
      </c>
      <c r="H121" s="8" t="s">
        <v>26</v>
      </c>
      <c r="I121" s="8" t="s">
        <v>27</v>
      </c>
      <c r="J121" s="8" t="s">
        <v>28</v>
      </c>
      <c r="K121" s="8"/>
      <c r="L121" s="11">
        <v>8.6</v>
      </c>
      <c r="M121" s="11">
        <v>3.4</v>
      </c>
      <c r="N121" s="11">
        <v>8.6</v>
      </c>
      <c r="O121" s="11">
        <f>L121*4</f>
        <v>34.4</v>
      </c>
      <c r="P121" s="11">
        <f>M121*4</f>
        <v>13.6</v>
      </c>
      <c r="Q121" s="11">
        <f>N121*4</f>
        <v>34.4</v>
      </c>
      <c r="R121" s="12">
        <f>(1/3)*3.14*P121^2*(3*(Q121/2)-P121)</f>
        <v>7356.4757333333309</v>
      </c>
      <c r="S121" s="12">
        <f>R121/1000</f>
        <v>7.3564757333333306</v>
      </c>
    </row>
    <row r="122" spans="1:19" x14ac:dyDescent="0.25">
      <c r="A122" s="7">
        <v>121</v>
      </c>
      <c r="B122" s="8" t="s">
        <v>31</v>
      </c>
      <c r="C122" s="8" t="s">
        <v>35</v>
      </c>
      <c r="D122" s="7" t="s">
        <v>705</v>
      </c>
      <c r="E122" s="8" t="s">
        <v>744</v>
      </c>
      <c r="F122" s="9">
        <v>1</v>
      </c>
      <c r="G122" s="10" t="s">
        <v>25</v>
      </c>
      <c r="H122" s="8" t="s">
        <v>26</v>
      </c>
      <c r="I122" s="8" t="s">
        <v>27</v>
      </c>
      <c r="J122" s="8" t="s">
        <v>22</v>
      </c>
      <c r="K122" s="8"/>
      <c r="L122" s="11">
        <v>8.1</v>
      </c>
      <c r="M122" s="11">
        <v>1.9</v>
      </c>
      <c r="N122" s="11">
        <v>8.1</v>
      </c>
      <c r="O122" s="11">
        <f>L122*4</f>
        <v>32.4</v>
      </c>
      <c r="P122" s="11">
        <f>M122*4</f>
        <v>7.6</v>
      </c>
      <c r="Q122" s="11">
        <f>N122*4</f>
        <v>32.4</v>
      </c>
      <c r="R122" s="12">
        <f>(1/3)*3.14*P122^2*(3*(Q122/2)-P122)</f>
        <v>2478.674133333333</v>
      </c>
      <c r="S122" s="12">
        <f>R122/1000</f>
        <v>2.4786741333333331</v>
      </c>
    </row>
    <row r="123" spans="1:19" x14ac:dyDescent="0.25">
      <c r="A123" s="7">
        <v>122</v>
      </c>
      <c r="B123" s="8" t="s">
        <v>31</v>
      </c>
      <c r="C123" s="8" t="s">
        <v>36</v>
      </c>
      <c r="D123" s="7" t="s">
        <v>705</v>
      </c>
      <c r="E123" s="8" t="s">
        <v>744</v>
      </c>
      <c r="F123" s="9">
        <v>1</v>
      </c>
      <c r="G123" s="10" t="s">
        <v>25</v>
      </c>
      <c r="H123" s="8" t="s">
        <v>86</v>
      </c>
      <c r="I123" s="8" t="s">
        <v>86</v>
      </c>
      <c r="J123" s="8" t="s">
        <v>28</v>
      </c>
      <c r="K123" s="8"/>
      <c r="L123" s="11">
        <v>10.3</v>
      </c>
      <c r="M123" s="11">
        <v>1.8</v>
      </c>
      <c r="N123" s="11">
        <v>10.3</v>
      </c>
      <c r="O123" s="11">
        <f>L123*4</f>
        <v>41.2</v>
      </c>
      <c r="P123" s="11">
        <f>M123*4</f>
        <v>7.2</v>
      </c>
      <c r="Q123" s="11">
        <f>N123*4</f>
        <v>41.2</v>
      </c>
      <c r="R123" s="12">
        <f>(1/3)*3.14*P123^2*(3*(Q123/2)-P123)</f>
        <v>2962.5523200000002</v>
      </c>
      <c r="S123" s="12">
        <f>R123/1000</f>
        <v>2.9625523200000003</v>
      </c>
    </row>
    <row r="124" spans="1:19" x14ac:dyDescent="0.25">
      <c r="A124" s="7">
        <v>123</v>
      </c>
      <c r="B124" s="8" t="s">
        <v>31</v>
      </c>
      <c r="C124" s="8" t="s">
        <v>164</v>
      </c>
      <c r="D124" s="7" t="s">
        <v>705</v>
      </c>
      <c r="E124" s="8" t="s">
        <v>744</v>
      </c>
      <c r="F124" s="9">
        <v>3</v>
      </c>
      <c r="G124" s="10" t="s">
        <v>25</v>
      </c>
      <c r="H124" s="8" t="s">
        <v>20</v>
      </c>
      <c r="I124" s="8" t="s">
        <v>21</v>
      </c>
      <c r="J124" s="8" t="s">
        <v>22</v>
      </c>
      <c r="K124" s="8"/>
      <c r="L124" s="11">
        <v>4.7</v>
      </c>
      <c r="M124" s="11">
        <v>2.4</v>
      </c>
      <c r="N124" s="11">
        <v>6.2</v>
      </c>
      <c r="O124" s="11">
        <f>L124*4</f>
        <v>18.8</v>
      </c>
      <c r="P124" s="11">
        <f>M124*4</f>
        <v>9.6</v>
      </c>
      <c r="Q124" s="11">
        <f>N124*4</f>
        <v>24.8</v>
      </c>
      <c r="R124" s="12">
        <f>4/3*3.14*(Q124/2)*(Q124/2)*(P124/2)</f>
        <v>3089.9609600000003</v>
      </c>
      <c r="S124" s="12">
        <f>R124/1000</f>
        <v>3.0899609600000004</v>
      </c>
    </row>
    <row r="125" spans="1:19" x14ac:dyDescent="0.25">
      <c r="A125" s="7">
        <v>124</v>
      </c>
      <c r="B125" s="8" t="s">
        <v>31</v>
      </c>
      <c r="C125" s="8" t="s">
        <v>329</v>
      </c>
      <c r="D125" s="7" t="s">
        <v>705</v>
      </c>
      <c r="E125" s="8" t="s">
        <v>744</v>
      </c>
      <c r="F125" s="9">
        <v>5</v>
      </c>
      <c r="G125" s="10" t="s">
        <v>33</v>
      </c>
      <c r="H125" s="8" t="s">
        <v>154</v>
      </c>
      <c r="I125" s="8" t="s">
        <v>155</v>
      </c>
      <c r="J125" s="8" t="s">
        <v>22</v>
      </c>
      <c r="K125" s="8"/>
      <c r="L125" s="11">
        <v>3.9</v>
      </c>
      <c r="M125" s="11">
        <v>6.3</v>
      </c>
      <c r="N125" s="11">
        <v>6.8</v>
      </c>
      <c r="O125" s="11">
        <f>L125*4</f>
        <v>15.6</v>
      </c>
      <c r="P125" s="11">
        <f>M125*4</f>
        <v>25.2</v>
      </c>
      <c r="Q125" s="11">
        <f>N125*4</f>
        <v>27.2</v>
      </c>
      <c r="R125" s="12">
        <f>(4/3)*3.14*(Q125/2)^3</f>
        <v>10531.375786666666</v>
      </c>
      <c r="S125" s="12">
        <f>R125/1000</f>
        <v>10.531375786666665</v>
      </c>
    </row>
    <row r="126" spans="1:19" x14ac:dyDescent="0.25">
      <c r="A126" s="7">
        <v>125</v>
      </c>
      <c r="B126" s="8" t="s">
        <v>31</v>
      </c>
      <c r="C126" s="8" t="s">
        <v>546</v>
      </c>
      <c r="D126" s="7" t="s">
        <v>705</v>
      </c>
      <c r="E126" s="8" t="s">
        <v>744</v>
      </c>
      <c r="F126" s="9">
        <v>7</v>
      </c>
      <c r="G126" s="10" t="s">
        <v>33</v>
      </c>
      <c r="H126" s="8" t="s">
        <v>20</v>
      </c>
      <c r="I126" s="8" t="s">
        <v>21</v>
      </c>
      <c r="J126" s="8" t="s">
        <v>22</v>
      </c>
      <c r="K126" s="8"/>
      <c r="L126" s="11">
        <v>6.9</v>
      </c>
      <c r="M126" s="11">
        <v>4</v>
      </c>
      <c r="N126" s="11">
        <v>9.3000000000000007</v>
      </c>
      <c r="O126" s="11">
        <f>L126*4</f>
        <v>27.6</v>
      </c>
      <c r="P126" s="11">
        <f>M126*4</f>
        <v>16</v>
      </c>
      <c r="Q126" s="11">
        <f>N126*4</f>
        <v>37.200000000000003</v>
      </c>
      <c r="R126" s="12">
        <f>4/3*3.14*(Q126/2)*(Q126/2)*(P126/2)</f>
        <v>11587.3536</v>
      </c>
      <c r="S126" s="12">
        <f>R126/1000</f>
        <v>11.5873536</v>
      </c>
    </row>
    <row r="127" spans="1:19" x14ac:dyDescent="0.25">
      <c r="A127" s="7">
        <v>126</v>
      </c>
      <c r="B127" s="8" t="s">
        <v>31</v>
      </c>
      <c r="C127" s="8" t="s">
        <v>586</v>
      </c>
      <c r="D127" s="7" t="s">
        <v>705</v>
      </c>
      <c r="E127" s="8" t="s">
        <v>744</v>
      </c>
      <c r="F127" s="9">
        <v>8</v>
      </c>
      <c r="G127" s="10" t="s">
        <v>25</v>
      </c>
      <c r="H127" s="8" t="s">
        <v>20</v>
      </c>
      <c r="I127" s="8" t="s">
        <v>21</v>
      </c>
      <c r="J127" s="8" t="s">
        <v>28</v>
      </c>
      <c r="K127" s="8"/>
      <c r="L127" s="11">
        <v>6.5</v>
      </c>
      <c r="M127" s="11">
        <v>2.7</v>
      </c>
      <c r="N127" s="11">
        <v>8.1</v>
      </c>
      <c r="O127" s="11">
        <f>L127*4</f>
        <v>26</v>
      </c>
      <c r="P127" s="11">
        <f>M127*4</f>
        <v>10.8</v>
      </c>
      <c r="Q127" s="11">
        <f>N127*4</f>
        <v>32.4</v>
      </c>
      <c r="R127" s="12">
        <f>4/3*3.14*(Q127/2)*(Q127/2)*(P127/2)</f>
        <v>5933.24352</v>
      </c>
      <c r="S127" s="12">
        <f>R127/1000</f>
        <v>5.9332435199999995</v>
      </c>
    </row>
    <row r="128" spans="1:19" x14ac:dyDescent="0.25">
      <c r="A128" s="7">
        <v>127</v>
      </c>
      <c r="B128" s="8" t="s">
        <v>31</v>
      </c>
      <c r="C128" s="8" t="s">
        <v>587</v>
      </c>
      <c r="D128" s="7" t="s">
        <v>705</v>
      </c>
      <c r="E128" s="8" t="s">
        <v>744</v>
      </c>
      <c r="F128" s="9">
        <v>8</v>
      </c>
      <c r="G128" s="10" t="s">
        <v>33</v>
      </c>
      <c r="H128" s="8" t="s">
        <v>20</v>
      </c>
      <c r="I128" s="8" t="s">
        <v>21</v>
      </c>
      <c r="J128" s="8" t="s">
        <v>22</v>
      </c>
      <c r="K128" s="8"/>
      <c r="L128" s="11">
        <v>7.4</v>
      </c>
      <c r="M128" s="11">
        <v>2.7</v>
      </c>
      <c r="N128" s="11">
        <v>9.9</v>
      </c>
      <c r="O128" s="11">
        <f>L128*4</f>
        <v>29.6</v>
      </c>
      <c r="P128" s="11">
        <f>M128*4</f>
        <v>10.8</v>
      </c>
      <c r="Q128" s="11">
        <f>N128*4</f>
        <v>39.6</v>
      </c>
      <c r="R128" s="12">
        <f>4/3*3.14*(Q128/2)*(Q128/2)*(P128/2)</f>
        <v>8863.2403200000008</v>
      </c>
      <c r="S128" s="12">
        <f>R128/1000</f>
        <v>8.8632403200000009</v>
      </c>
    </row>
    <row r="129" spans="1:19" x14ac:dyDescent="0.25">
      <c r="A129" s="7">
        <v>128</v>
      </c>
      <c r="B129" s="8" t="s">
        <v>31</v>
      </c>
      <c r="C129" s="8" t="s">
        <v>330</v>
      </c>
      <c r="D129" s="7" t="s">
        <v>705</v>
      </c>
      <c r="E129" s="8" t="s">
        <v>744</v>
      </c>
      <c r="F129" s="9">
        <v>5</v>
      </c>
      <c r="G129" s="10" t="s">
        <v>25</v>
      </c>
      <c r="H129" s="8" t="s">
        <v>154</v>
      </c>
      <c r="I129" s="8" t="s">
        <v>155</v>
      </c>
      <c r="J129" s="8" t="s">
        <v>22</v>
      </c>
      <c r="K129" s="8"/>
      <c r="L129" s="11">
        <v>2.1</v>
      </c>
      <c r="M129" s="11">
        <v>3.3</v>
      </c>
      <c r="N129" s="11">
        <v>3.2</v>
      </c>
      <c r="O129" s="11">
        <f>L129*4</f>
        <v>8.4</v>
      </c>
      <c r="P129" s="11">
        <f>M129*4</f>
        <v>13.2</v>
      </c>
      <c r="Q129" s="11">
        <f>N129*4</f>
        <v>12.8</v>
      </c>
      <c r="R129" s="12">
        <f>(4/3)*3.14*(Q129/2)^3</f>
        <v>1097.5095466666669</v>
      </c>
      <c r="S129" s="12">
        <f>R129/1000</f>
        <v>1.0975095466666669</v>
      </c>
    </row>
    <row r="130" spans="1:19" x14ac:dyDescent="0.25">
      <c r="A130" s="7">
        <v>129</v>
      </c>
      <c r="B130" s="8" t="s">
        <v>31</v>
      </c>
      <c r="C130" s="8" t="s">
        <v>331</v>
      </c>
      <c r="D130" s="7" t="s">
        <v>705</v>
      </c>
      <c r="E130" s="8" t="s">
        <v>744</v>
      </c>
      <c r="F130" s="9">
        <v>5</v>
      </c>
      <c r="G130" s="10" t="s">
        <v>33</v>
      </c>
      <c r="H130" s="8" t="s">
        <v>154</v>
      </c>
      <c r="I130" s="8" t="s">
        <v>155</v>
      </c>
      <c r="J130" s="8" t="s">
        <v>22</v>
      </c>
      <c r="K130" s="8"/>
      <c r="L130" s="11">
        <v>4.7</v>
      </c>
      <c r="M130" s="11">
        <v>5.7</v>
      </c>
      <c r="N130" s="11">
        <v>5.9</v>
      </c>
      <c r="O130" s="11">
        <f>L130*4</f>
        <v>18.8</v>
      </c>
      <c r="P130" s="11">
        <f>M130*4</f>
        <v>22.8</v>
      </c>
      <c r="Q130" s="11">
        <f>N130*4</f>
        <v>23.6</v>
      </c>
      <c r="R130" s="12">
        <f>(4/3)*3.14*(Q130/2)^3</f>
        <v>6878.827306666667</v>
      </c>
      <c r="S130" s="12">
        <f>R130/1000</f>
        <v>6.8788273066666674</v>
      </c>
    </row>
    <row r="131" spans="1:19" x14ac:dyDescent="0.25">
      <c r="A131" s="7">
        <v>130</v>
      </c>
      <c r="B131" s="8" t="s">
        <v>31</v>
      </c>
      <c r="C131" s="8" t="s">
        <v>332</v>
      </c>
      <c r="D131" s="7" t="s">
        <v>705</v>
      </c>
      <c r="E131" s="8" t="s">
        <v>744</v>
      </c>
      <c r="F131" s="9">
        <v>5</v>
      </c>
      <c r="G131" s="10" t="s">
        <v>33</v>
      </c>
      <c r="H131" s="8" t="s">
        <v>20</v>
      </c>
      <c r="I131" s="8" t="s">
        <v>21</v>
      </c>
      <c r="J131" s="8" t="s">
        <v>22</v>
      </c>
      <c r="K131" s="8"/>
      <c r="L131" s="11">
        <v>3.6</v>
      </c>
      <c r="M131" s="11">
        <v>4.4000000000000004</v>
      </c>
      <c r="N131" s="11">
        <v>5.8</v>
      </c>
      <c r="O131" s="11">
        <f>L131*4</f>
        <v>14.4</v>
      </c>
      <c r="P131" s="11">
        <f>M131*4</f>
        <v>17.600000000000001</v>
      </c>
      <c r="Q131" s="11">
        <f>N131*4</f>
        <v>23.2</v>
      </c>
      <c r="R131" s="12">
        <f>(4/3)*3.14*(Q131/2)^3</f>
        <v>6534.9512533333327</v>
      </c>
      <c r="S131" s="12">
        <f>R131/1000</f>
        <v>6.5349512533333325</v>
      </c>
    </row>
    <row r="132" spans="1:19" x14ac:dyDescent="0.25">
      <c r="A132" s="7">
        <v>131</v>
      </c>
      <c r="B132" s="8" t="s">
        <v>31</v>
      </c>
      <c r="C132" s="8" t="s">
        <v>333</v>
      </c>
      <c r="D132" s="7" t="s">
        <v>705</v>
      </c>
      <c r="E132" s="8" t="s">
        <v>744</v>
      </c>
      <c r="F132" s="9">
        <v>5</v>
      </c>
      <c r="G132" s="10" t="s">
        <v>33</v>
      </c>
      <c r="H132" s="8" t="s">
        <v>20</v>
      </c>
      <c r="I132" s="8" t="s">
        <v>21</v>
      </c>
      <c r="J132" s="8" t="s">
        <v>22</v>
      </c>
      <c r="K132" s="8"/>
      <c r="L132" s="11">
        <v>5.7</v>
      </c>
      <c r="M132" s="11">
        <v>4.3</v>
      </c>
      <c r="N132" s="11">
        <v>6.7</v>
      </c>
      <c r="O132" s="11">
        <f>L132*4</f>
        <v>22.8</v>
      </c>
      <c r="P132" s="11">
        <f>M132*4</f>
        <v>17.2</v>
      </c>
      <c r="Q132" s="11">
        <f>N132*4</f>
        <v>26.8</v>
      </c>
      <c r="R132" s="12">
        <f>(4/3)*3.14*(Q132/2)^3</f>
        <v>10073.555413333333</v>
      </c>
      <c r="S132" s="12">
        <f>R132/1000</f>
        <v>10.073555413333333</v>
      </c>
    </row>
    <row r="133" spans="1:19" x14ac:dyDescent="0.25">
      <c r="A133" s="7">
        <v>132</v>
      </c>
      <c r="B133" s="8" t="s">
        <v>31</v>
      </c>
      <c r="C133" s="8" t="s">
        <v>334</v>
      </c>
      <c r="D133" s="7" t="s">
        <v>705</v>
      </c>
      <c r="E133" s="8" t="s">
        <v>744</v>
      </c>
      <c r="F133" s="9">
        <v>5</v>
      </c>
      <c r="G133" s="10" t="s">
        <v>33</v>
      </c>
      <c r="H133" s="8" t="s">
        <v>20</v>
      </c>
      <c r="I133" s="8" t="s">
        <v>21</v>
      </c>
      <c r="J133" s="8" t="s">
        <v>22</v>
      </c>
      <c r="K133" s="8"/>
      <c r="L133" s="11">
        <v>4.7</v>
      </c>
      <c r="M133" s="11">
        <v>5.5</v>
      </c>
      <c r="N133" s="11">
        <v>7</v>
      </c>
      <c r="O133" s="11">
        <f>L133*4</f>
        <v>18.8</v>
      </c>
      <c r="P133" s="11">
        <f>M133*4</f>
        <v>22</v>
      </c>
      <c r="Q133" s="11">
        <f>N133*4</f>
        <v>28</v>
      </c>
      <c r="R133" s="12">
        <f>(4/3)*3.14*(Q133/2)^3</f>
        <v>11488.213333333333</v>
      </c>
      <c r="S133" s="12">
        <f>R133/1000</f>
        <v>11.488213333333332</v>
      </c>
    </row>
    <row r="134" spans="1:19" x14ac:dyDescent="0.25">
      <c r="A134" s="7">
        <v>133</v>
      </c>
      <c r="B134" s="8" t="s">
        <v>31</v>
      </c>
      <c r="C134" s="8" t="s">
        <v>38</v>
      </c>
      <c r="D134" s="7" t="s">
        <v>705</v>
      </c>
      <c r="E134" s="8" t="s">
        <v>744</v>
      </c>
      <c r="F134" s="9">
        <v>1</v>
      </c>
      <c r="G134" s="10" t="s">
        <v>25</v>
      </c>
      <c r="H134" s="8" t="s">
        <v>20</v>
      </c>
      <c r="I134" s="8" t="s">
        <v>21</v>
      </c>
      <c r="J134" s="8" t="s">
        <v>22</v>
      </c>
      <c r="K134" s="8"/>
      <c r="L134" s="11">
        <v>6.1</v>
      </c>
      <c r="M134" s="11">
        <v>1.5</v>
      </c>
      <c r="N134" s="11">
        <v>6.1</v>
      </c>
      <c r="O134" s="11">
        <f>L134*4</f>
        <v>24.4</v>
      </c>
      <c r="P134" s="11">
        <f>M134*4</f>
        <v>6</v>
      </c>
      <c r="Q134" s="11">
        <f>N134*4</f>
        <v>24.4</v>
      </c>
      <c r="R134" s="12">
        <f>(1/3)*3.14*P134^2*(3*(Q134/2)-P134)</f>
        <v>1153.0079999999998</v>
      </c>
      <c r="S134" s="12">
        <f>R134/1000</f>
        <v>1.1530079999999998</v>
      </c>
    </row>
    <row r="135" spans="1:19" x14ac:dyDescent="0.25">
      <c r="A135" s="7">
        <v>134</v>
      </c>
      <c r="B135" s="8" t="s">
        <v>31</v>
      </c>
      <c r="C135" s="8" t="s">
        <v>197</v>
      </c>
      <c r="D135" s="7" t="s">
        <v>705</v>
      </c>
      <c r="E135" s="8" t="s">
        <v>744</v>
      </c>
      <c r="F135" s="9">
        <v>4</v>
      </c>
      <c r="G135" s="10" t="s">
        <v>25</v>
      </c>
      <c r="H135" s="8" t="s">
        <v>20</v>
      </c>
      <c r="I135" s="8" t="s">
        <v>21</v>
      </c>
      <c r="J135" s="8" t="s">
        <v>22</v>
      </c>
      <c r="K135" s="8"/>
      <c r="L135" s="11">
        <v>6.4</v>
      </c>
      <c r="M135" s="11">
        <v>3.1</v>
      </c>
      <c r="N135" s="11">
        <v>6.4</v>
      </c>
      <c r="O135" s="11">
        <f>L135*4</f>
        <v>25.6</v>
      </c>
      <c r="P135" s="11">
        <f>M135*4</f>
        <v>12.4</v>
      </c>
      <c r="Q135" s="11">
        <f>N135*4</f>
        <v>25.6</v>
      </c>
      <c r="R135" s="12">
        <f>2/3*3.14*(Q135/2)^3</f>
        <v>4390.0381866666676</v>
      </c>
      <c r="S135" s="12">
        <f>R135/1000</f>
        <v>4.3900381866666676</v>
      </c>
    </row>
    <row r="136" spans="1:19" x14ac:dyDescent="0.25">
      <c r="A136" s="7">
        <v>135</v>
      </c>
      <c r="B136" s="8" t="s">
        <v>31</v>
      </c>
      <c r="C136" s="8" t="s">
        <v>547</v>
      </c>
      <c r="D136" s="7" t="s">
        <v>705</v>
      </c>
      <c r="E136" s="8" t="s">
        <v>744</v>
      </c>
      <c r="F136" s="9">
        <v>7</v>
      </c>
      <c r="G136" s="10" t="s">
        <v>25</v>
      </c>
      <c r="H136" s="8" t="s">
        <v>20</v>
      </c>
      <c r="I136" s="8" t="s">
        <v>21</v>
      </c>
      <c r="J136" s="8" t="s">
        <v>22</v>
      </c>
      <c r="K136" s="8"/>
      <c r="L136" s="11">
        <v>4.3</v>
      </c>
      <c r="M136" s="11">
        <v>3.2</v>
      </c>
      <c r="N136" s="11">
        <v>5.4</v>
      </c>
      <c r="O136" s="11">
        <f>L136*4</f>
        <v>17.2</v>
      </c>
      <c r="P136" s="11">
        <f>M136*4</f>
        <v>12.8</v>
      </c>
      <c r="Q136" s="11">
        <f>N136*4</f>
        <v>21.6</v>
      </c>
      <c r="R136" s="12">
        <f>4/3*3.14*(Q136/2)*(Q136/2)*(P136/2)</f>
        <v>3125.3299200000001</v>
      </c>
      <c r="S136" s="12">
        <f>R136/1000</f>
        <v>3.12532992</v>
      </c>
    </row>
    <row r="137" spans="1:19" x14ac:dyDescent="0.25">
      <c r="A137" s="7">
        <v>136</v>
      </c>
      <c r="B137" s="8" t="s">
        <v>31</v>
      </c>
      <c r="C137" s="8" t="s">
        <v>548</v>
      </c>
      <c r="D137" s="7" t="s">
        <v>705</v>
      </c>
      <c r="E137" s="8" t="s">
        <v>744</v>
      </c>
      <c r="F137" s="9">
        <v>7</v>
      </c>
      <c r="G137" s="10" t="s">
        <v>25</v>
      </c>
      <c r="H137" s="8" t="s">
        <v>154</v>
      </c>
      <c r="I137" s="8" t="s">
        <v>155</v>
      </c>
      <c r="J137" s="8" t="s">
        <v>22</v>
      </c>
      <c r="K137" s="8"/>
      <c r="L137" s="11">
        <v>6</v>
      </c>
      <c r="M137" s="11">
        <v>3.2</v>
      </c>
      <c r="N137" s="11">
        <v>6.8</v>
      </c>
      <c r="O137" s="11">
        <f>L137*4</f>
        <v>24</v>
      </c>
      <c r="P137" s="11">
        <f>M137*4</f>
        <v>12.8</v>
      </c>
      <c r="Q137" s="11">
        <f>N137*4</f>
        <v>27.2</v>
      </c>
      <c r="R137" s="12">
        <f>4/3*3.14*(Q137/2)*(Q137/2)*(P137/2)</f>
        <v>4955.9415466666669</v>
      </c>
      <c r="S137" s="12">
        <f>R137/1000</f>
        <v>4.9559415466666668</v>
      </c>
    </row>
    <row r="138" spans="1:19" x14ac:dyDescent="0.25">
      <c r="A138" s="7">
        <v>137</v>
      </c>
      <c r="B138" s="8" t="s">
        <v>31</v>
      </c>
      <c r="C138" s="8" t="s">
        <v>105</v>
      </c>
      <c r="D138" s="7" t="s">
        <v>705</v>
      </c>
      <c r="E138" s="8" t="s">
        <v>744</v>
      </c>
      <c r="F138" s="9">
        <v>2</v>
      </c>
      <c r="G138" s="10" t="s">
        <v>25</v>
      </c>
      <c r="H138" s="8" t="s">
        <v>20</v>
      </c>
      <c r="I138" s="8" t="s">
        <v>21</v>
      </c>
      <c r="J138" s="8" t="s">
        <v>28</v>
      </c>
      <c r="K138" s="8"/>
      <c r="L138" s="11">
        <v>4.3</v>
      </c>
      <c r="M138" s="11">
        <v>2</v>
      </c>
      <c r="N138" s="11">
        <v>4.3</v>
      </c>
      <c r="O138" s="11">
        <f>L138*4</f>
        <v>17.2</v>
      </c>
      <c r="P138" s="11">
        <f>M138*4</f>
        <v>8</v>
      </c>
      <c r="Q138" s="11">
        <f>N138*4</f>
        <v>17.2</v>
      </c>
      <c r="R138" s="12">
        <f>(1/3)*3.14*P138^2*(3*(Q138/2)-P138)</f>
        <v>1192.3626666666664</v>
      </c>
      <c r="S138" s="12">
        <f>R138/1000</f>
        <v>1.1923626666666665</v>
      </c>
    </row>
    <row r="139" spans="1:19" x14ac:dyDescent="0.25">
      <c r="A139" s="7">
        <v>138</v>
      </c>
      <c r="B139" s="8" t="s">
        <v>31</v>
      </c>
      <c r="C139" s="8" t="s">
        <v>198</v>
      </c>
      <c r="D139" s="7" t="s">
        <v>705</v>
      </c>
      <c r="E139" s="8" t="s">
        <v>744</v>
      </c>
      <c r="F139" s="9">
        <v>4</v>
      </c>
      <c r="G139" s="10" t="s">
        <v>25</v>
      </c>
      <c r="H139" s="8" t="s">
        <v>20</v>
      </c>
      <c r="I139" s="8" t="s">
        <v>21</v>
      </c>
      <c r="J139" s="8" t="s">
        <v>22</v>
      </c>
      <c r="K139" s="8"/>
      <c r="L139" s="11">
        <v>6.9</v>
      </c>
      <c r="M139" s="11">
        <v>5</v>
      </c>
      <c r="N139" s="11">
        <v>6.9</v>
      </c>
      <c r="O139" s="11">
        <f>L139*4</f>
        <v>27.6</v>
      </c>
      <c r="P139" s="11">
        <f>M139*4</f>
        <v>20</v>
      </c>
      <c r="Q139" s="11">
        <f>N139*4</f>
        <v>27.6</v>
      </c>
      <c r="R139" s="12">
        <f>2/3*3.14*(Q139/2)^3</f>
        <v>5501.4307200000012</v>
      </c>
      <c r="S139" s="12">
        <f>R139/1000</f>
        <v>5.501430720000001</v>
      </c>
    </row>
    <row r="140" spans="1:19" x14ac:dyDescent="0.25">
      <c r="A140" s="7">
        <v>139</v>
      </c>
      <c r="B140" s="8" t="s">
        <v>31</v>
      </c>
      <c r="C140" s="8" t="s">
        <v>39</v>
      </c>
      <c r="D140" s="7" t="s">
        <v>706</v>
      </c>
      <c r="E140" s="8" t="s">
        <v>744</v>
      </c>
      <c r="F140" s="9">
        <v>1</v>
      </c>
      <c r="G140" s="10" t="s">
        <v>25</v>
      </c>
      <c r="H140" s="8" t="s">
        <v>26</v>
      </c>
      <c r="I140" s="8" t="s">
        <v>27</v>
      </c>
      <c r="J140" s="8" t="s">
        <v>28</v>
      </c>
      <c r="K140" s="8"/>
      <c r="L140" s="11">
        <v>8.4</v>
      </c>
      <c r="M140" s="11">
        <v>1.9</v>
      </c>
      <c r="N140" s="11">
        <v>8.4</v>
      </c>
      <c r="O140" s="11">
        <f>L140*4</f>
        <v>33.6</v>
      </c>
      <c r="P140" s="11">
        <f>M140*4</f>
        <v>7.6</v>
      </c>
      <c r="Q140" s="11">
        <f>N140*4</f>
        <v>33.6</v>
      </c>
      <c r="R140" s="12">
        <f>(1/3)*3.14*P140^2*(3*(Q140/2)-P140)</f>
        <v>2587.4939733333335</v>
      </c>
      <c r="S140" s="12">
        <f>R140/1000</f>
        <v>2.5874939733333338</v>
      </c>
    </row>
    <row r="141" spans="1:19" x14ac:dyDescent="0.25">
      <c r="A141" s="7">
        <v>140</v>
      </c>
      <c r="B141" s="8" t="s">
        <v>31</v>
      </c>
      <c r="C141" s="8" t="s">
        <v>40</v>
      </c>
      <c r="D141" s="7" t="s">
        <v>706</v>
      </c>
      <c r="E141" s="8" t="s">
        <v>744</v>
      </c>
      <c r="F141" s="9">
        <v>1</v>
      </c>
      <c r="G141" s="10" t="s">
        <v>25</v>
      </c>
      <c r="H141" s="8" t="s">
        <v>86</v>
      </c>
      <c r="I141" s="8" t="s">
        <v>86</v>
      </c>
      <c r="J141" s="8" t="s">
        <v>22</v>
      </c>
      <c r="K141" s="8"/>
      <c r="L141" s="11">
        <v>8.4</v>
      </c>
      <c r="M141" s="11">
        <v>2</v>
      </c>
      <c r="N141" s="11">
        <v>8.4</v>
      </c>
      <c r="O141" s="11">
        <f>L141*4</f>
        <v>33.6</v>
      </c>
      <c r="P141" s="11">
        <f>M141*4</f>
        <v>8</v>
      </c>
      <c r="Q141" s="11">
        <f>N141*4</f>
        <v>33.6</v>
      </c>
      <c r="R141" s="12">
        <f>(1/3)*3.14*P141^2*(3*(Q141/2)-P141)</f>
        <v>2840.2346666666672</v>
      </c>
      <c r="S141" s="12">
        <f>R141/1000</f>
        <v>2.8402346666666674</v>
      </c>
    </row>
    <row r="142" spans="1:19" x14ac:dyDescent="0.25">
      <c r="A142" s="7">
        <v>141</v>
      </c>
      <c r="B142" s="8" t="s">
        <v>31</v>
      </c>
      <c r="C142" s="8" t="s">
        <v>517</v>
      </c>
      <c r="D142" s="7" t="s">
        <v>706</v>
      </c>
      <c r="E142" s="8" t="s">
        <v>744</v>
      </c>
      <c r="F142" s="9">
        <v>6</v>
      </c>
      <c r="G142" s="10" t="s">
        <v>33</v>
      </c>
      <c r="H142" s="8" t="s">
        <v>86</v>
      </c>
      <c r="I142" s="8" t="s">
        <v>86</v>
      </c>
      <c r="J142" s="8" t="s">
        <v>22</v>
      </c>
      <c r="K142" s="8"/>
      <c r="L142" s="11">
        <v>2.7</v>
      </c>
      <c r="M142" s="11">
        <v>7.4</v>
      </c>
      <c r="N142" s="11">
        <v>7.2</v>
      </c>
      <c r="O142" s="11">
        <f>L142*4</f>
        <v>10.8</v>
      </c>
      <c r="P142" s="11">
        <f>M142*4</f>
        <v>29.6</v>
      </c>
      <c r="Q142" s="11">
        <f>N142*4</f>
        <v>28.8</v>
      </c>
      <c r="R142" s="12">
        <f>(4/3)*3.14*(Q142/2)^3</f>
        <v>12501.319680000001</v>
      </c>
      <c r="S142" s="12">
        <f>R142/1000</f>
        <v>12.50131968</v>
      </c>
    </row>
    <row r="143" spans="1:19" x14ac:dyDescent="0.25">
      <c r="A143" s="7">
        <v>142</v>
      </c>
      <c r="B143" s="8" t="s">
        <v>31</v>
      </c>
      <c r="C143" s="8" t="s">
        <v>518</v>
      </c>
      <c r="D143" s="7" t="s">
        <v>706</v>
      </c>
      <c r="E143" s="8" t="s">
        <v>744</v>
      </c>
      <c r="F143" s="9">
        <v>6</v>
      </c>
      <c r="G143" s="10" t="s">
        <v>33</v>
      </c>
      <c r="H143" s="8" t="s">
        <v>154</v>
      </c>
      <c r="I143" s="8" t="s">
        <v>155</v>
      </c>
      <c r="J143" s="8" t="s">
        <v>22</v>
      </c>
      <c r="K143" s="8"/>
      <c r="L143" s="11">
        <v>2</v>
      </c>
      <c r="M143" s="11">
        <v>7.7</v>
      </c>
      <c r="N143" s="11">
        <v>6.7</v>
      </c>
      <c r="O143" s="11">
        <f>L143*4</f>
        <v>8</v>
      </c>
      <c r="P143" s="11">
        <f>M143*4</f>
        <v>30.8</v>
      </c>
      <c r="Q143" s="11">
        <f>N143*4</f>
        <v>26.8</v>
      </c>
      <c r="R143" s="12">
        <f>(4/3)*3.14*(Q143/2)^3</f>
        <v>10073.555413333333</v>
      </c>
      <c r="S143" s="12">
        <f>R143/1000</f>
        <v>10.073555413333333</v>
      </c>
    </row>
    <row r="144" spans="1:19" x14ac:dyDescent="0.25">
      <c r="A144" s="7">
        <v>143</v>
      </c>
      <c r="B144" s="8" t="s">
        <v>31</v>
      </c>
      <c r="C144" s="8" t="s">
        <v>549</v>
      </c>
      <c r="D144" s="7" t="s">
        <v>706</v>
      </c>
      <c r="E144" s="8" t="s">
        <v>744</v>
      </c>
      <c r="F144" s="9">
        <v>7</v>
      </c>
      <c r="G144" s="10" t="s">
        <v>25</v>
      </c>
      <c r="H144" s="8" t="s">
        <v>20</v>
      </c>
      <c r="I144" s="8" t="s">
        <v>21</v>
      </c>
      <c r="J144" s="8" t="s">
        <v>22</v>
      </c>
      <c r="K144" s="8"/>
      <c r="L144" s="11">
        <v>5.6</v>
      </c>
      <c r="M144" s="11">
        <v>3.2</v>
      </c>
      <c r="N144" s="11">
        <v>7.4</v>
      </c>
      <c r="O144" s="11">
        <f>L144*4</f>
        <v>22.4</v>
      </c>
      <c r="P144" s="11">
        <f>M144*4</f>
        <v>12.8</v>
      </c>
      <c r="Q144" s="11">
        <f>N144*4</f>
        <v>29.6</v>
      </c>
      <c r="R144" s="12">
        <f>4/3*3.14*(Q144/2)*(Q144/2)*(P144/2)</f>
        <v>5869.1037866666675</v>
      </c>
      <c r="S144" s="12">
        <f>R144/1000</f>
        <v>5.8691037866666678</v>
      </c>
    </row>
    <row r="145" spans="1:19" x14ac:dyDescent="0.25">
      <c r="A145" s="7">
        <v>144</v>
      </c>
      <c r="B145" s="8" t="s">
        <v>31</v>
      </c>
      <c r="C145" s="8" t="s">
        <v>199</v>
      </c>
      <c r="D145" s="7" t="s">
        <v>706</v>
      </c>
      <c r="E145" s="8" t="s">
        <v>744</v>
      </c>
      <c r="F145" s="9">
        <v>4</v>
      </c>
      <c r="G145" s="10" t="s">
        <v>33</v>
      </c>
      <c r="H145" s="8" t="s">
        <v>200</v>
      </c>
      <c r="I145" s="8" t="s">
        <v>200</v>
      </c>
      <c r="J145" s="8" t="s">
        <v>22</v>
      </c>
      <c r="K145" s="8"/>
      <c r="L145" s="11">
        <v>8</v>
      </c>
      <c r="M145" s="11">
        <v>4.2</v>
      </c>
      <c r="N145" s="11">
        <v>8</v>
      </c>
      <c r="O145" s="11">
        <f>L145*4</f>
        <v>32</v>
      </c>
      <c r="P145" s="11">
        <f>M145*4</f>
        <v>16.8</v>
      </c>
      <c r="Q145" s="11">
        <f>N145*4</f>
        <v>32</v>
      </c>
      <c r="R145" s="12">
        <f>2/3*3.14*(Q145/2)^3</f>
        <v>8574.2933333333331</v>
      </c>
      <c r="S145" s="12">
        <f>R145/1000</f>
        <v>8.5742933333333333</v>
      </c>
    </row>
    <row r="146" spans="1:19" x14ac:dyDescent="0.25">
      <c r="A146" s="7">
        <v>145</v>
      </c>
      <c r="B146" s="8" t="s">
        <v>31</v>
      </c>
      <c r="C146" s="8" t="s">
        <v>550</v>
      </c>
      <c r="D146" s="7" t="s">
        <v>706</v>
      </c>
      <c r="E146" s="8" t="s">
        <v>744</v>
      </c>
      <c r="F146" s="9">
        <v>7</v>
      </c>
      <c r="G146" s="10" t="s">
        <v>33</v>
      </c>
      <c r="H146" s="8" t="s">
        <v>20</v>
      </c>
      <c r="I146" s="8" t="s">
        <v>21</v>
      </c>
      <c r="J146" s="8" t="s">
        <v>22</v>
      </c>
      <c r="K146" s="8"/>
      <c r="L146" s="11">
        <v>8.6999999999999993</v>
      </c>
      <c r="M146" s="11">
        <v>4.0999999999999996</v>
      </c>
      <c r="N146" s="11">
        <v>9.4</v>
      </c>
      <c r="O146" s="11">
        <f>L146*4</f>
        <v>34.799999999999997</v>
      </c>
      <c r="P146" s="11">
        <f>M146*4</f>
        <v>16.399999999999999</v>
      </c>
      <c r="Q146" s="11">
        <f>N146*4</f>
        <v>37.6</v>
      </c>
      <c r="R146" s="12">
        <f>4/3*3.14*(Q146/2)*(Q146/2)*(P146/2)</f>
        <v>12133.830826666666</v>
      </c>
      <c r="S146" s="12">
        <f>R146/1000</f>
        <v>12.133830826666665</v>
      </c>
    </row>
    <row r="147" spans="1:19" x14ac:dyDescent="0.25">
      <c r="A147" s="7">
        <v>146</v>
      </c>
      <c r="B147" s="8" t="s">
        <v>31</v>
      </c>
      <c r="C147" s="8" t="s">
        <v>551</v>
      </c>
      <c r="D147" s="7" t="s">
        <v>706</v>
      </c>
      <c r="E147" s="8" t="s">
        <v>744</v>
      </c>
      <c r="F147" s="9">
        <v>7</v>
      </c>
      <c r="G147" s="10" t="s">
        <v>25</v>
      </c>
      <c r="H147" s="8" t="s">
        <v>26</v>
      </c>
      <c r="I147" s="8" t="s">
        <v>27</v>
      </c>
      <c r="J147" s="8" t="s">
        <v>22</v>
      </c>
      <c r="K147" s="8"/>
      <c r="L147" s="11">
        <v>5.0999999999999996</v>
      </c>
      <c r="M147" s="11">
        <v>3.1</v>
      </c>
      <c r="N147" s="11">
        <v>5.9</v>
      </c>
      <c r="O147" s="11">
        <f>L147*4</f>
        <v>20.399999999999999</v>
      </c>
      <c r="P147" s="11">
        <f>M147*4</f>
        <v>12.4</v>
      </c>
      <c r="Q147" s="11">
        <f>N147*4</f>
        <v>23.6</v>
      </c>
      <c r="R147" s="12">
        <f>4/3*3.14*(Q147/2)*(Q147/2)*(P147/2)</f>
        <v>3614.299093333334</v>
      </c>
      <c r="S147" s="12">
        <f>R147/1000</f>
        <v>3.6142990933333339</v>
      </c>
    </row>
    <row r="148" spans="1:19" x14ac:dyDescent="0.25">
      <c r="A148" s="7">
        <v>147</v>
      </c>
      <c r="B148" s="8" t="s">
        <v>31</v>
      </c>
      <c r="C148" s="8" t="s">
        <v>552</v>
      </c>
      <c r="D148" s="7" t="s">
        <v>706</v>
      </c>
      <c r="E148" s="8" t="s">
        <v>744</v>
      </c>
      <c r="F148" s="9">
        <v>7</v>
      </c>
      <c r="G148" s="10" t="s">
        <v>33</v>
      </c>
      <c r="H148" s="8" t="s">
        <v>26</v>
      </c>
      <c r="I148" s="8" t="s">
        <v>27</v>
      </c>
      <c r="J148" s="8" t="s">
        <v>22</v>
      </c>
      <c r="K148" s="8"/>
      <c r="L148" s="11">
        <v>8.5</v>
      </c>
      <c r="M148" s="11">
        <v>4</v>
      </c>
      <c r="N148" s="11">
        <v>9.6999999999999993</v>
      </c>
      <c r="O148" s="11">
        <f>L148*4</f>
        <v>34</v>
      </c>
      <c r="P148" s="11">
        <f>M148*4</f>
        <v>16</v>
      </c>
      <c r="Q148" s="11">
        <f>N148*4</f>
        <v>38.799999999999997</v>
      </c>
      <c r="R148" s="12">
        <f>4/3*3.14*(Q148/2)*(Q148/2)*(P148/2)</f>
        <v>12605.55093333333</v>
      </c>
      <c r="S148" s="12">
        <f>R148/1000</f>
        <v>12.60555093333333</v>
      </c>
    </row>
    <row r="149" spans="1:19" x14ac:dyDescent="0.25">
      <c r="A149" s="7">
        <v>148</v>
      </c>
      <c r="B149" s="8" t="s">
        <v>31</v>
      </c>
      <c r="C149" s="8" t="s">
        <v>165</v>
      </c>
      <c r="D149" s="7" t="s">
        <v>706</v>
      </c>
      <c r="E149" s="8" t="s">
        <v>744</v>
      </c>
      <c r="F149" s="9">
        <v>3</v>
      </c>
      <c r="G149" s="10" t="s">
        <v>33</v>
      </c>
      <c r="H149" s="8" t="s">
        <v>154</v>
      </c>
      <c r="I149" s="8" t="s">
        <v>155</v>
      </c>
      <c r="J149" s="8" t="s">
        <v>22</v>
      </c>
      <c r="K149" s="8"/>
      <c r="L149" s="11">
        <v>7.7</v>
      </c>
      <c r="M149" s="11">
        <v>4.5</v>
      </c>
      <c r="N149" s="11">
        <v>7.6</v>
      </c>
      <c r="O149" s="11">
        <f>L149*4</f>
        <v>30.8</v>
      </c>
      <c r="P149" s="11">
        <f>M149*4</f>
        <v>18</v>
      </c>
      <c r="Q149" s="11">
        <f>N149*4</f>
        <v>30.4</v>
      </c>
      <c r="R149" s="12">
        <f>4/3*3.14*(Q149/2)*(Q149/2)*(P149/2)</f>
        <v>8705.5871999999981</v>
      </c>
      <c r="S149" s="12">
        <f>R149/1000</f>
        <v>8.7055871999999983</v>
      </c>
    </row>
    <row r="150" spans="1:19" x14ac:dyDescent="0.25">
      <c r="A150" s="7">
        <v>149</v>
      </c>
      <c r="B150" s="8" t="s">
        <v>31</v>
      </c>
      <c r="C150" s="8" t="s">
        <v>553</v>
      </c>
      <c r="D150" s="7" t="s">
        <v>706</v>
      </c>
      <c r="E150" s="8" t="s">
        <v>744</v>
      </c>
      <c r="F150" s="9">
        <v>7</v>
      </c>
      <c r="G150" s="10" t="s">
        <v>33</v>
      </c>
      <c r="H150" s="8" t="s">
        <v>107</v>
      </c>
      <c r="I150" s="8" t="s">
        <v>107</v>
      </c>
      <c r="J150" s="8" t="s">
        <v>22</v>
      </c>
      <c r="K150" s="8"/>
      <c r="L150" s="11">
        <v>7.6</v>
      </c>
      <c r="M150" s="11">
        <v>3.6</v>
      </c>
      <c r="N150" s="11">
        <v>7.8</v>
      </c>
      <c r="O150" s="11">
        <f>L150*4</f>
        <v>30.4</v>
      </c>
      <c r="P150" s="11">
        <f>M150*4</f>
        <v>14.4</v>
      </c>
      <c r="Q150" s="11">
        <f>N150*4</f>
        <v>31.2</v>
      </c>
      <c r="R150" s="12">
        <f>4/3*3.14*(Q150/2)*(Q150/2)*(P150/2)</f>
        <v>7335.8438399999995</v>
      </c>
      <c r="S150" s="12">
        <f>R150/1000</f>
        <v>7.3358438399999999</v>
      </c>
    </row>
    <row r="151" spans="1:19" x14ac:dyDescent="0.25">
      <c r="A151" s="7">
        <v>150</v>
      </c>
      <c r="B151" s="8" t="s">
        <v>31</v>
      </c>
      <c r="C151" s="8" t="s">
        <v>106</v>
      </c>
      <c r="D151" s="7" t="s">
        <v>706</v>
      </c>
      <c r="E151" s="8" t="s">
        <v>744</v>
      </c>
      <c r="F151" s="9">
        <v>2</v>
      </c>
      <c r="G151" s="10" t="s">
        <v>25</v>
      </c>
      <c r="H151" s="8" t="s">
        <v>107</v>
      </c>
      <c r="I151" s="8" t="s">
        <v>107</v>
      </c>
      <c r="J151" s="8" t="s">
        <v>22</v>
      </c>
      <c r="K151" s="8"/>
      <c r="L151" s="11">
        <v>6.4</v>
      </c>
      <c r="M151" s="11">
        <v>2.5</v>
      </c>
      <c r="N151" s="11">
        <v>6.4</v>
      </c>
      <c r="O151" s="11">
        <f>L151*4</f>
        <v>25.6</v>
      </c>
      <c r="P151" s="11">
        <f>M151*4</f>
        <v>10</v>
      </c>
      <c r="Q151" s="11">
        <f>N151*4</f>
        <v>25.6</v>
      </c>
      <c r="R151" s="12">
        <f>(1/3)*3.14*P151^2*(3*(Q151/2)-P151)</f>
        <v>2972.5333333333338</v>
      </c>
      <c r="S151" s="12">
        <f>R151/1000</f>
        <v>2.9725333333333337</v>
      </c>
    </row>
    <row r="152" spans="1:19" x14ac:dyDescent="0.25">
      <c r="A152" s="7">
        <v>151</v>
      </c>
      <c r="B152" s="8" t="s">
        <v>31</v>
      </c>
      <c r="C152" s="8" t="s">
        <v>108</v>
      </c>
      <c r="D152" s="7" t="s">
        <v>706</v>
      </c>
      <c r="E152" s="8" t="s">
        <v>744</v>
      </c>
      <c r="F152" s="9">
        <v>2</v>
      </c>
      <c r="G152" s="10" t="s">
        <v>33</v>
      </c>
      <c r="H152" s="8" t="s">
        <v>109</v>
      </c>
      <c r="I152" s="8" t="s">
        <v>109</v>
      </c>
      <c r="J152" s="8" t="s">
        <v>22</v>
      </c>
      <c r="K152" s="8" t="s">
        <v>110</v>
      </c>
      <c r="L152" s="11">
        <v>8.5</v>
      </c>
      <c r="M152" s="11">
        <v>3.1</v>
      </c>
      <c r="N152" s="11">
        <v>8.5</v>
      </c>
      <c r="O152" s="11">
        <f>L152*4</f>
        <v>34</v>
      </c>
      <c r="P152" s="11">
        <f>M152*4</f>
        <v>12.4</v>
      </c>
      <c r="Q152" s="11">
        <f>N152*4</f>
        <v>34</v>
      </c>
      <c r="R152" s="12">
        <f>(1/3)*3.14*P152^2*(3*(Q152/2)-P152)</f>
        <v>6212.1090133333346</v>
      </c>
      <c r="S152" s="12">
        <f>R152/1000</f>
        <v>6.2121090133333343</v>
      </c>
    </row>
    <row r="153" spans="1:19" x14ac:dyDescent="0.25">
      <c r="A153" s="7">
        <v>152</v>
      </c>
      <c r="B153" s="8" t="s">
        <v>31</v>
      </c>
      <c r="C153" s="8" t="s">
        <v>554</v>
      </c>
      <c r="D153" s="7" t="s">
        <v>706</v>
      </c>
      <c r="E153" s="8" t="s">
        <v>744</v>
      </c>
      <c r="F153" s="9">
        <v>7</v>
      </c>
      <c r="G153" s="10" t="s">
        <v>33</v>
      </c>
      <c r="H153" s="8" t="s">
        <v>20</v>
      </c>
      <c r="I153" s="8" t="s">
        <v>21</v>
      </c>
      <c r="J153" s="8" t="s">
        <v>555</v>
      </c>
      <c r="K153" s="8" t="s">
        <v>110</v>
      </c>
      <c r="L153" s="11">
        <v>8.1</v>
      </c>
      <c r="M153" s="11">
        <v>3.4</v>
      </c>
      <c r="N153" s="11">
        <v>9.3000000000000007</v>
      </c>
      <c r="O153" s="11">
        <f>L153*4</f>
        <v>32.4</v>
      </c>
      <c r="P153" s="11">
        <f>M153*4</f>
        <v>13.6</v>
      </c>
      <c r="Q153" s="11">
        <f>N153*4</f>
        <v>37.200000000000003</v>
      </c>
      <c r="R153" s="12">
        <f>4/3*3.14*(Q153/2)*(Q153/2)*(P153/2)</f>
        <v>9849.2505600000004</v>
      </c>
      <c r="S153" s="12">
        <f>R153/1000</f>
        <v>9.8492505599999998</v>
      </c>
    </row>
    <row r="154" spans="1:19" x14ac:dyDescent="0.25">
      <c r="A154" s="7">
        <v>153</v>
      </c>
      <c r="B154" s="8" t="s">
        <v>31</v>
      </c>
      <c r="C154" s="8" t="s">
        <v>556</v>
      </c>
      <c r="D154" s="7" t="s">
        <v>706</v>
      </c>
      <c r="E154" s="8" t="s">
        <v>744</v>
      </c>
      <c r="F154" s="9">
        <v>7</v>
      </c>
      <c r="G154" s="10" t="s">
        <v>33</v>
      </c>
      <c r="H154" s="8" t="s">
        <v>20</v>
      </c>
      <c r="I154" s="8" t="s">
        <v>21</v>
      </c>
      <c r="J154" s="8" t="s">
        <v>22</v>
      </c>
      <c r="K154" s="8" t="s">
        <v>110</v>
      </c>
      <c r="L154" s="11">
        <v>8.6999999999999993</v>
      </c>
      <c r="M154" s="11">
        <v>3.8</v>
      </c>
      <c r="N154" s="11">
        <v>9.6999999999999993</v>
      </c>
      <c r="O154" s="11">
        <f>L154*4</f>
        <v>34.799999999999997</v>
      </c>
      <c r="P154" s="11">
        <f>M154*4</f>
        <v>15.2</v>
      </c>
      <c r="Q154" s="11">
        <f>N154*4</f>
        <v>38.799999999999997</v>
      </c>
      <c r="R154" s="12">
        <f>4/3*3.14*(Q154/2)*(Q154/2)*(P154/2)</f>
        <v>11975.273386666664</v>
      </c>
      <c r="S154" s="12">
        <f>R154/1000</f>
        <v>11.975273386666665</v>
      </c>
    </row>
    <row r="155" spans="1:19" x14ac:dyDescent="0.25">
      <c r="A155" s="7">
        <v>154</v>
      </c>
      <c r="B155" s="8" t="s">
        <v>31</v>
      </c>
      <c r="C155" s="8" t="s">
        <v>557</v>
      </c>
      <c r="D155" s="7" t="s">
        <v>706</v>
      </c>
      <c r="E155" s="8" t="s">
        <v>744</v>
      </c>
      <c r="F155" s="9">
        <v>7</v>
      </c>
      <c r="G155" s="10" t="s">
        <v>33</v>
      </c>
      <c r="H155" s="8" t="s">
        <v>20</v>
      </c>
      <c r="I155" s="8" t="s">
        <v>21</v>
      </c>
      <c r="J155" s="8" t="s">
        <v>22</v>
      </c>
      <c r="K155" s="8" t="s">
        <v>110</v>
      </c>
      <c r="L155" s="11">
        <v>9.4</v>
      </c>
      <c r="M155" s="11">
        <v>4.4000000000000004</v>
      </c>
      <c r="N155" s="11">
        <v>10.7</v>
      </c>
      <c r="O155" s="11">
        <f>L155*4</f>
        <v>37.6</v>
      </c>
      <c r="P155" s="11">
        <f>M155*4</f>
        <v>17.600000000000001</v>
      </c>
      <c r="Q155" s="11">
        <f>N155*4</f>
        <v>42.8</v>
      </c>
      <c r="R155" s="12">
        <f>4/3*3.14*(Q155/2)*(Q155/2)*(P155/2)</f>
        <v>16872.467626666665</v>
      </c>
      <c r="S155" s="12">
        <f>R155/1000</f>
        <v>16.872467626666666</v>
      </c>
    </row>
    <row r="156" spans="1:19" x14ac:dyDescent="0.25">
      <c r="A156" s="7">
        <v>155</v>
      </c>
      <c r="B156" s="8" t="s">
        <v>31</v>
      </c>
      <c r="C156" s="8" t="s">
        <v>111</v>
      </c>
      <c r="D156" s="7" t="s">
        <v>706</v>
      </c>
      <c r="E156" s="8" t="s">
        <v>744</v>
      </c>
      <c r="F156" s="9">
        <v>2</v>
      </c>
      <c r="G156" s="10" t="s">
        <v>25</v>
      </c>
      <c r="H156" s="8" t="s">
        <v>86</v>
      </c>
      <c r="I156" s="8" t="s">
        <v>86</v>
      </c>
      <c r="J156" s="8" t="s">
        <v>22</v>
      </c>
      <c r="K156" s="8"/>
      <c r="L156" s="11">
        <v>7.6</v>
      </c>
      <c r="M156" s="11">
        <v>2.6</v>
      </c>
      <c r="N156" s="11">
        <v>7.6</v>
      </c>
      <c r="O156" s="11">
        <f>L156*4</f>
        <v>30.4</v>
      </c>
      <c r="P156" s="11">
        <f>M156*4</f>
        <v>10.4</v>
      </c>
      <c r="Q156" s="11">
        <f>N156*4</f>
        <v>30.4</v>
      </c>
      <c r="R156" s="12">
        <f>(1/3)*3.14*P156^2*(3*(Q156/2)-P156)</f>
        <v>3984.9028266666664</v>
      </c>
      <c r="S156" s="12">
        <f>R156/1000</f>
        <v>3.9849028266666666</v>
      </c>
    </row>
    <row r="157" spans="1:19" x14ac:dyDescent="0.25">
      <c r="A157" s="7">
        <v>156</v>
      </c>
      <c r="B157" s="8" t="s">
        <v>31</v>
      </c>
      <c r="C157" s="8" t="s">
        <v>588</v>
      </c>
      <c r="D157" s="7" t="s">
        <v>706</v>
      </c>
      <c r="E157" s="8" t="s">
        <v>744</v>
      </c>
      <c r="F157" s="9">
        <v>8</v>
      </c>
      <c r="G157" s="10" t="s">
        <v>25</v>
      </c>
      <c r="H157" s="8" t="s">
        <v>20</v>
      </c>
      <c r="I157" s="8" t="s">
        <v>21</v>
      </c>
      <c r="J157" s="8" t="s">
        <v>22</v>
      </c>
      <c r="K157" s="8"/>
      <c r="L157" s="11">
        <v>8.6</v>
      </c>
      <c r="M157" s="11">
        <v>2.1</v>
      </c>
      <c r="N157" s="11">
        <v>8.6</v>
      </c>
      <c r="O157" s="11">
        <f>L157*4</f>
        <v>34.4</v>
      </c>
      <c r="P157" s="11">
        <f>M157*4</f>
        <v>8.4</v>
      </c>
      <c r="Q157" s="11">
        <f>N157*4</f>
        <v>34.4</v>
      </c>
      <c r="R157" s="12">
        <f>4/3*3.14*(Q157/2)*(Q157/2)*(P157/2)</f>
        <v>5202.0505599999997</v>
      </c>
      <c r="S157" s="12">
        <f>R157/1000</f>
        <v>5.20205056</v>
      </c>
    </row>
    <row r="158" spans="1:19" x14ac:dyDescent="0.25">
      <c r="A158" s="7">
        <v>157</v>
      </c>
      <c r="B158" s="8" t="s">
        <v>31</v>
      </c>
      <c r="C158" s="8" t="s">
        <v>558</v>
      </c>
      <c r="D158" s="7" t="s">
        <v>706</v>
      </c>
      <c r="E158" s="8" t="s">
        <v>744</v>
      </c>
      <c r="F158" s="9">
        <v>7</v>
      </c>
      <c r="G158" s="10" t="s">
        <v>33</v>
      </c>
      <c r="H158" s="8" t="s">
        <v>20</v>
      </c>
      <c r="I158" s="8" t="s">
        <v>21</v>
      </c>
      <c r="J158" s="8" t="s">
        <v>22</v>
      </c>
      <c r="K158" s="8" t="s">
        <v>110</v>
      </c>
      <c r="L158" s="11">
        <v>6.8</v>
      </c>
      <c r="M158" s="11">
        <v>3</v>
      </c>
      <c r="N158" s="11">
        <v>8.1999999999999993</v>
      </c>
      <c r="O158" s="11">
        <f>L158*4</f>
        <v>27.2</v>
      </c>
      <c r="P158" s="11">
        <f>M158*4</f>
        <v>12</v>
      </c>
      <c r="Q158" s="11">
        <f>N158*4</f>
        <v>32.799999999999997</v>
      </c>
      <c r="R158" s="12">
        <f>4/3*3.14*(Q158/2)*(Q158/2)*(P158/2)</f>
        <v>6756.2752</v>
      </c>
      <c r="S158" s="12">
        <f>R158/1000</f>
        <v>6.7562752000000001</v>
      </c>
    </row>
    <row r="159" spans="1:19" x14ac:dyDescent="0.25">
      <c r="A159" s="7">
        <v>158</v>
      </c>
      <c r="B159" s="8" t="s">
        <v>31</v>
      </c>
      <c r="C159" s="8" t="s">
        <v>559</v>
      </c>
      <c r="D159" s="7" t="s">
        <v>706</v>
      </c>
      <c r="E159" s="8" t="s">
        <v>744</v>
      </c>
      <c r="F159" s="9">
        <v>7</v>
      </c>
      <c r="G159" s="10" t="s">
        <v>33</v>
      </c>
      <c r="H159" s="8" t="s">
        <v>20</v>
      </c>
      <c r="I159" s="8" t="s">
        <v>21</v>
      </c>
      <c r="J159" s="8" t="s">
        <v>22</v>
      </c>
      <c r="K159" s="8"/>
      <c r="L159" s="11">
        <v>8.3000000000000007</v>
      </c>
      <c r="M159" s="11">
        <v>4.9000000000000004</v>
      </c>
      <c r="N159" s="11">
        <v>9.6999999999999993</v>
      </c>
      <c r="O159" s="11">
        <f>L159*4</f>
        <v>33.200000000000003</v>
      </c>
      <c r="P159" s="11">
        <f>M159*4</f>
        <v>19.600000000000001</v>
      </c>
      <c r="Q159" s="11">
        <f>N159*4</f>
        <v>38.799999999999997</v>
      </c>
      <c r="R159" s="12">
        <f>4/3*3.14*(Q159/2)*(Q159/2)*(P159/2)</f>
        <v>15441.799893333331</v>
      </c>
      <c r="S159" s="12">
        <f>R159/1000</f>
        <v>15.44179989333333</v>
      </c>
    </row>
    <row r="160" spans="1:19" x14ac:dyDescent="0.25">
      <c r="A160" s="7">
        <v>159</v>
      </c>
      <c r="B160" s="8" t="s">
        <v>31</v>
      </c>
      <c r="C160" s="8" t="s">
        <v>560</v>
      </c>
      <c r="D160" s="7" t="s">
        <v>706</v>
      </c>
      <c r="E160" s="8" t="s">
        <v>744</v>
      </c>
      <c r="F160" s="9">
        <v>7</v>
      </c>
      <c r="G160" s="10" t="s">
        <v>33</v>
      </c>
      <c r="H160" s="8" t="s">
        <v>20</v>
      </c>
      <c r="I160" s="8" t="s">
        <v>21</v>
      </c>
      <c r="J160" s="8" t="s">
        <v>22</v>
      </c>
      <c r="K160" s="8"/>
      <c r="L160" s="11">
        <v>8.4</v>
      </c>
      <c r="M160" s="11">
        <v>5.3</v>
      </c>
      <c r="N160" s="11">
        <v>10.199999999999999</v>
      </c>
      <c r="O160" s="11">
        <f>L160*4</f>
        <v>33.6</v>
      </c>
      <c r="P160" s="11">
        <f>M160*4</f>
        <v>21.2</v>
      </c>
      <c r="Q160" s="11">
        <f>N160*4</f>
        <v>40.799999999999997</v>
      </c>
      <c r="R160" s="12">
        <f>4/3*3.14*(Q160/2)*(Q160/2)*(P160/2)</f>
        <v>18468.625919999995</v>
      </c>
      <c r="S160" s="12">
        <f>R160/1000</f>
        <v>18.468625919999994</v>
      </c>
    </row>
    <row r="161" spans="1:19" x14ac:dyDescent="0.25">
      <c r="A161" s="7">
        <v>160</v>
      </c>
      <c r="B161" s="8" t="s">
        <v>31</v>
      </c>
      <c r="C161" s="8" t="s">
        <v>335</v>
      </c>
      <c r="D161" s="7" t="s">
        <v>706</v>
      </c>
      <c r="E161" s="8" t="s">
        <v>744</v>
      </c>
      <c r="F161" s="9">
        <v>5</v>
      </c>
      <c r="G161" s="10" t="s">
        <v>33</v>
      </c>
      <c r="H161" s="8" t="s">
        <v>336</v>
      </c>
      <c r="I161" s="8" t="s">
        <v>155</v>
      </c>
      <c r="J161" s="8"/>
      <c r="K161" s="8"/>
      <c r="L161" s="11">
        <v>8</v>
      </c>
      <c r="M161" s="11">
        <v>9.5</v>
      </c>
      <c r="N161" s="11">
        <v>9.1999999999999993</v>
      </c>
      <c r="O161" s="11">
        <f>L161*4</f>
        <v>32</v>
      </c>
      <c r="P161" s="11">
        <f>M161*4</f>
        <v>38</v>
      </c>
      <c r="Q161" s="11">
        <f>N161*4</f>
        <v>36.799999999999997</v>
      </c>
      <c r="R161" s="12">
        <f>(4/3)*3.14*(Q161/2)^3</f>
        <v>26080.856746666657</v>
      </c>
      <c r="S161" s="12">
        <f>R161/1000</f>
        <v>26.080856746666658</v>
      </c>
    </row>
    <row r="162" spans="1:19" x14ac:dyDescent="0.25">
      <c r="A162" s="7">
        <v>161</v>
      </c>
      <c r="B162" s="8" t="s">
        <v>31</v>
      </c>
      <c r="C162" s="8" t="s">
        <v>201</v>
      </c>
      <c r="D162" s="7" t="s">
        <v>706</v>
      </c>
      <c r="E162" s="8" t="s">
        <v>744</v>
      </c>
      <c r="F162" s="9">
        <v>4</v>
      </c>
      <c r="G162" s="10" t="s">
        <v>33</v>
      </c>
      <c r="H162" s="8" t="s">
        <v>86</v>
      </c>
      <c r="I162" s="8" t="s">
        <v>86</v>
      </c>
      <c r="J162" s="8"/>
      <c r="K162" s="8"/>
      <c r="L162" s="11">
        <v>8.1999999999999993</v>
      </c>
      <c r="M162" s="11">
        <v>6.9</v>
      </c>
      <c r="N162" s="11">
        <v>8.1999999999999993</v>
      </c>
      <c r="O162" s="11">
        <f>L162*4</f>
        <v>32.799999999999997</v>
      </c>
      <c r="P162" s="11">
        <f>M162*4</f>
        <v>27.6</v>
      </c>
      <c r="Q162" s="11">
        <f>N162*4</f>
        <v>32.799999999999997</v>
      </c>
      <c r="R162" s="12">
        <f>2/3*3.14*(Q162/2)^3</f>
        <v>9233.5761066666655</v>
      </c>
      <c r="S162" s="12">
        <f>R162/1000</f>
        <v>9.233576106666666</v>
      </c>
    </row>
    <row r="163" spans="1:19" x14ac:dyDescent="0.25">
      <c r="A163" s="7">
        <v>162</v>
      </c>
      <c r="B163" s="8" t="s">
        <v>31</v>
      </c>
      <c r="C163" s="8" t="s">
        <v>337</v>
      </c>
      <c r="D163" s="7" t="s">
        <v>706</v>
      </c>
      <c r="E163" s="8" t="s">
        <v>744</v>
      </c>
      <c r="F163" s="9">
        <v>5</v>
      </c>
      <c r="G163" s="10" t="s">
        <v>33</v>
      </c>
      <c r="H163" s="8" t="s">
        <v>86</v>
      </c>
      <c r="I163" s="8" t="s">
        <v>86</v>
      </c>
      <c r="J163" s="8"/>
      <c r="K163" s="8"/>
      <c r="L163" s="11">
        <v>8.6</v>
      </c>
      <c r="M163" s="11">
        <v>8</v>
      </c>
      <c r="N163" s="11">
        <v>8.9</v>
      </c>
      <c r="O163" s="11">
        <f>L163*4</f>
        <v>34.4</v>
      </c>
      <c r="P163" s="11">
        <f>M163*4</f>
        <v>32</v>
      </c>
      <c r="Q163" s="11">
        <f>N163*4</f>
        <v>35.6</v>
      </c>
      <c r="R163" s="12">
        <f>(4/3)*3.14*(Q163/2)^3</f>
        <v>23611.761706666668</v>
      </c>
      <c r="S163" s="12">
        <f>R163/1000</f>
        <v>23.61176170666667</v>
      </c>
    </row>
    <row r="164" spans="1:19" x14ac:dyDescent="0.25">
      <c r="A164" s="7">
        <v>163</v>
      </c>
      <c r="B164" s="8" t="s">
        <v>31</v>
      </c>
      <c r="C164" s="8" t="s">
        <v>112</v>
      </c>
      <c r="D164" s="7" t="s">
        <v>706</v>
      </c>
      <c r="E164" s="8" t="s">
        <v>744</v>
      </c>
      <c r="F164" s="9">
        <v>2</v>
      </c>
      <c r="G164" s="10" t="s">
        <v>25</v>
      </c>
      <c r="H164" s="8" t="s">
        <v>26</v>
      </c>
      <c r="I164" s="8" t="s">
        <v>27</v>
      </c>
      <c r="J164" s="8" t="s">
        <v>22</v>
      </c>
      <c r="K164" s="8"/>
      <c r="L164" s="11">
        <v>5.8</v>
      </c>
      <c r="M164" s="11">
        <v>3.4</v>
      </c>
      <c r="N164" s="11">
        <v>5.8</v>
      </c>
      <c r="O164" s="11">
        <f>L164*4</f>
        <v>23.2</v>
      </c>
      <c r="P164" s="11">
        <f>M164*4</f>
        <v>13.6</v>
      </c>
      <c r="Q164" s="11">
        <f>N164*4</f>
        <v>23.2</v>
      </c>
      <c r="R164" s="12">
        <f>(1/3)*3.14*P164^2*(3*(Q164/2)-P164)</f>
        <v>4104.1390933333314</v>
      </c>
      <c r="S164" s="12">
        <f>R164/1000</f>
        <v>4.1041390933333313</v>
      </c>
    </row>
    <row r="165" spans="1:19" x14ac:dyDescent="0.25">
      <c r="A165" s="7">
        <v>164</v>
      </c>
      <c r="B165" s="8" t="s">
        <v>31</v>
      </c>
      <c r="C165" s="8" t="s">
        <v>561</v>
      </c>
      <c r="D165" s="7" t="s">
        <v>705</v>
      </c>
      <c r="E165" s="8" t="s">
        <v>744</v>
      </c>
      <c r="F165" s="9">
        <v>7</v>
      </c>
      <c r="G165" s="10" t="s">
        <v>33</v>
      </c>
      <c r="H165" s="8" t="s">
        <v>20</v>
      </c>
      <c r="I165" s="8" t="s">
        <v>21</v>
      </c>
      <c r="J165" s="8" t="s">
        <v>22</v>
      </c>
      <c r="K165" s="8"/>
      <c r="L165" s="11">
        <v>8.4</v>
      </c>
      <c r="M165" s="11">
        <v>4.7</v>
      </c>
      <c r="N165" s="11">
        <v>10.5</v>
      </c>
      <c r="O165" s="11">
        <f>L165*4</f>
        <v>33.6</v>
      </c>
      <c r="P165" s="11">
        <f>M165*4</f>
        <v>18.8</v>
      </c>
      <c r="Q165" s="11">
        <f>N165*4</f>
        <v>42</v>
      </c>
      <c r="R165" s="12">
        <f>4/3*3.14*(Q165/2)*(Q165/2)*(P165/2)</f>
        <v>17355.407999999999</v>
      </c>
      <c r="S165" s="12">
        <f>R165/1000</f>
        <v>17.355408000000001</v>
      </c>
    </row>
    <row r="166" spans="1:19" x14ac:dyDescent="0.25">
      <c r="A166" s="7">
        <v>165</v>
      </c>
      <c r="B166" s="8" t="s">
        <v>31</v>
      </c>
      <c r="C166" s="8" t="s">
        <v>609</v>
      </c>
      <c r="D166" s="7" t="s">
        <v>706</v>
      </c>
      <c r="E166" s="8" t="s">
        <v>744</v>
      </c>
      <c r="F166" s="9">
        <v>10</v>
      </c>
      <c r="G166" s="10" t="s">
        <v>42</v>
      </c>
      <c r="H166" s="8" t="s">
        <v>154</v>
      </c>
      <c r="I166" s="8" t="s">
        <v>155</v>
      </c>
      <c r="J166" s="8" t="s">
        <v>28</v>
      </c>
      <c r="K166" s="8"/>
      <c r="L166" s="11">
        <v>10.5</v>
      </c>
      <c r="M166" s="11">
        <v>18.5</v>
      </c>
      <c r="N166" s="11">
        <v>16.100000000000001</v>
      </c>
      <c r="O166" s="11">
        <f>L166*4</f>
        <v>42</v>
      </c>
      <c r="P166" s="11">
        <f>M166*4</f>
        <v>74</v>
      </c>
      <c r="Q166" s="11">
        <f>N166*4</f>
        <v>64.400000000000006</v>
      </c>
      <c r="R166" s="12">
        <f>4/3*3.14*(Q166/2)*(Q166/2)*(P166/2)</f>
        <v>160613.42826666665</v>
      </c>
      <c r="S166" s="12">
        <f>R166/1000</f>
        <v>160.61342826666666</v>
      </c>
    </row>
    <row r="167" spans="1:19" x14ac:dyDescent="0.25">
      <c r="A167" s="7">
        <v>166</v>
      </c>
      <c r="B167" s="8" t="s">
        <v>31</v>
      </c>
      <c r="C167" s="8" t="s">
        <v>594</v>
      </c>
      <c r="D167" s="7" t="s">
        <v>705</v>
      </c>
      <c r="E167" s="8" t="s">
        <v>744</v>
      </c>
      <c r="F167" s="9">
        <v>9</v>
      </c>
      <c r="G167" s="10" t="s">
        <v>33</v>
      </c>
      <c r="H167" s="8" t="s">
        <v>86</v>
      </c>
      <c r="I167" s="8" t="s">
        <v>86</v>
      </c>
      <c r="J167" s="8" t="s">
        <v>28</v>
      </c>
      <c r="K167" s="8"/>
      <c r="L167" s="11">
        <v>8.6</v>
      </c>
      <c r="M167" s="11">
        <v>12</v>
      </c>
      <c r="N167" s="11">
        <v>8.8000000000000007</v>
      </c>
      <c r="O167" s="11">
        <f>L167*4</f>
        <v>34.4</v>
      </c>
      <c r="P167" s="11">
        <f>M167*4</f>
        <v>48</v>
      </c>
      <c r="Q167" s="11">
        <f>N167*4</f>
        <v>35.200000000000003</v>
      </c>
      <c r="R167" s="12">
        <f>4/3*3.14*(Q167/2)*(Q167/2)*(P167/2)</f>
        <v>31124.684800000003</v>
      </c>
      <c r="S167" s="12">
        <f>R167/1000</f>
        <v>31.124684800000004</v>
      </c>
    </row>
    <row r="168" spans="1:19" x14ac:dyDescent="0.25">
      <c r="A168" s="7">
        <v>167</v>
      </c>
      <c r="B168" s="8" t="s">
        <v>31</v>
      </c>
      <c r="C168" s="8" t="s">
        <v>202</v>
      </c>
      <c r="D168" s="7" t="s">
        <v>705</v>
      </c>
      <c r="E168" s="8" t="s">
        <v>744</v>
      </c>
      <c r="F168" s="9">
        <v>4</v>
      </c>
      <c r="G168" s="10" t="s">
        <v>33</v>
      </c>
      <c r="H168" s="8" t="s">
        <v>203</v>
      </c>
      <c r="I168" s="8" t="s">
        <v>203</v>
      </c>
      <c r="J168" s="8" t="s">
        <v>22</v>
      </c>
      <c r="K168" s="8"/>
      <c r="L168" s="11">
        <v>9</v>
      </c>
      <c r="M168" s="11">
        <v>8.6</v>
      </c>
      <c r="N168" s="11">
        <v>10.4</v>
      </c>
      <c r="O168" s="11">
        <f>L168*4</f>
        <v>36</v>
      </c>
      <c r="P168" s="11">
        <f>M168*4</f>
        <v>34.4</v>
      </c>
      <c r="Q168" s="11">
        <f>N168*4</f>
        <v>41.6</v>
      </c>
      <c r="R168" s="12">
        <f>2/3*3.14*(Q168/2)^3</f>
        <v>18837.722453333336</v>
      </c>
      <c r="S168" s="12">
        <f>R168/1000</f>
        <v>18.837722453333335</v>
      </c>
    </row>
    <row r="169" spans="1:19" x14ac:dyDescent="0.25">
      <c r="A169" s="7">
        <v>168</v>
      </c>
      <c r="B169" s="8" t="s">
        <v>31</v>
      </c>
      <c r="C169" s="8" t="s">
        <v>204</v>
      </c>
      <c r="D169" s="7" t="s">
        <v>705</v>
      </c>
      <c r="E169" s="8" t="s">
        <v>744</v>
      </c>
      <c r="F169" s="9">
        <v>4</v>
      </c>
      <c r="G169" s="10" t="s">
        <v>33</v>
      </c>
      <c r="H169" s="8" t="s">
        <v>203</v>
      </c>
      <c r="I169" s="8" t="s">
        <v>203</v>
      </c>
      <c r="J169" s="8" t="s">
        <v>22</v>
      </c>
      <c r="K169" s="8"/>
      <c r="L169" s="11">
        <v>8.6999999999999993</v>
      </c>
      <c r="M169" s="11">
        <v>6.6</v>
      </c>
      <c r="N169" s="11">
        <v>8.6999999999999993</v>
      </c>
      <c r="O169" s="11">
        <f>L169*4</f>
        <v>34.799999999999997</v>
      </c>
      <c r="P169" s="11">
        <f>M169*4</f>
        <v>26.4</v>
      </c>
      <c r="Q169" s="11">
        <f>N169*4</f>
        <v>34.799999999999997</v>
      </c>
      <c r="R169" s="12">
        <f>2/3*3.14*(Q169/2)^3</f>
        <v>11027.730239999997</v>
      </c>
      <c r="S169" s="12">
        <f>R169/1000</f>
        <v>11.027730239999997</v>
      </c>
    </row>
    <row r="170" spans="1:19" x14ac:dyDescent="0.25">
      <c r="A170" s="7">
        <v>169</v>
      </c>
      <c r="B170" s="8" t="s">
        <v>31</v>
      </c>
      <c r="C170" s="8" t="s">
        <v>41</v>
      </c>
      <c r="D170" s="7" t="s">
        <v>705</v>
      </c>
      <c r="E170" s="8" t="s">
        <v>744</v>
      </c>
      <c r="F170" s="9">
        <v>1</v>
      </c>
      <c r="G170" s="10" t="s">
        <v>25</v>
      </c>
      <c r="H170" s="8" t="s">
        <v>86</v>
      </c>
      <c r="I170" s="8" t="s">
        <v>86</v>
      </c>
      <c r="J170" s="8" t="s">
        <v>28</v>
      </c>
      <c r="K170" s="8"/>
      <c r="L170" s="11">
        <v>12</v>
      </c>
      <c r="M170" s="11">
        <v>2.2000000000000002</v>
      </c>
      <c r="N170" s="11">
        <v>12</v>
      </c>
      <c r="O170" s="11">
        <f>L170*4</f>
        <v>48</v>
      </c>
      <c r="P170" s="11">
        <f>M170*4</f>
        <v>8.8000000000000007</v>
      </c>
      <c r="Q170" s="11">
        <f>N170*4</f>
        <v>48</v>
      </c>
      <c r="R170" s="12">
        <f>(1/3)*3.14*P170^2*(3*(Q170/2)-P170)</f>
        <v>5122.6043733333345</v>
      </c>
      <c r="S170" s="12">
        <f>R170/1000</f>
        <v>5.1226043733333348</v>
      </c>
    </row>
    <row r="171" spans="1:19" x14ac:dyDescent="0.25">
      <c r="A171" s="7">
        <v>170</v>
      </c>
      <c r="B171" s="8" t="s">
        <v>31</v>
      </c>
      <c r="C171" s="8" t="s">
        <v>595</v>
      </c>
      <c r="D171" s="7" t="s">
        <v>705</v>
      </c>
      <c r="E171" s="8" t="s">
        <v>744</v>
      </c>
      <c r="F171" s="9">
        <v>9</v>
      </c>
      <c r="G171" s="10" t="s">
        <v>37</v>
      </c>
      <c r="H171" s="8" t="s">
        <v>26</v>
      </c>
      <c r="I171" s="8" t="s">
        <v>27</v>
      </c>
      <c r="J171" s="8" t="s">
        <v>28</v>
      </c>
      <c r="K171" s="8"/>
      <c r="L171" s="11">
        <v>10.6</v>
      </c>
      <c r="M171" s="11">
        <v>11.8</v>
      </c>
      <c r="N171" s="11">
        <v>11</v>
      </c>
      <c r="O171" s="11">
        <f>L171*4</f>
        <v>42.4</v>
      </c>
      <c r="P171" s="11">
        <f>M171*4</f>
        <v>47.2</v>
      </c>
      <c r="Q171" s="11">
        <f>N171*4</f>
        <v>44</v>
      </c>
      <c r="R171" s="12">
        <f>4/3*3.14*(Q171/2)*(Q171/2)*(P171/2)</f>
        <v>47821.78133333334</v>
      </c>
      <c r="S171" s="12">
        <f>R171/1000</f>
        <v>47.821781333333341</v>
      </c>
    </row>
    <row r="172" spans="1:19" x14ac:dyDescent="0.25">
      <c r="A172" s="7">
        <v>171</v>
      </c>
      <c r="B172" s="8" t="s">
        <v>31</v>
      </c>
      <c r="C172" s="8" t="s">
        <v>610</v>
      </c>
      <c r="D172" s="7" t="s">
        <v>706</v>
      </c>
      <c r="E172" s="8" t="s">
        <v>744</v>
      </c>
      <c r="F172" s="9">
        <v>10</v>
      </c>
      <c r="G172" s="10" t="s">
        <v>42</v>
      </c>
      <c r="H172" s="8" t="s">
        <v>26</v>
      </c>
      <c r="I172" s="8" t="s">
        <v>27</v>
      </c>
      <c r="J172" s="8" t="s">
        <v>28</v>
      </c>
      <c r="K172" s="8"/>
      <c r="L172" s="11">
        <v>12.1</v>
      </c>
      <c r="M172" s="11">
        <v>18.2</v>
      </c>
      <c r="N172" s="11">
        <v>14.2</v>
      </c>
      <c r="O172" s="11">
        <f>L172*4</f>
        <v>48.4</v>
      </c>
      <c r="P172" s="11">
        <f>M172*4</f>
        <v>72.8</v>
      </c>
      <c r="Q172" s="11">
        <f>N172*4</f>
        <v>56.8</v>
      </c>
      <c r="R172" s="12">
        <f>4/3*3.14*(Q172/2)*(Q172/2)*(P172/2)</f>
        <v>122915.44234666665</v>
      </c>
      <c r="S172" s="12">
        <f>R172/1000</f>
        <v>122.91544234666665</v>
      </c>
    </row>
    <row r="173" spans="1:19" x14ac:dyDescent="0.25">
      <c r="A173" s="7">
        <v>172</v>
      </c>
      <c r="B173" s="8" t="s">
        <v>31</v>
      </c>
      <c r="C173" s="8" t="s">
        <v>338</v>
      </c>
      <c r="D173" s="7" t="s">
        <v>706</v>
      </c>
      <c r="E173" s="8" t="s">
        <v>744</v>
      </c>
      <c r="F173" s="9">
        <v>5</v>
      </c>
      <c r="G173" s="10" t="s">
        <v>37</v>
      </c>
      <c r="H173" s="8" t="s">
        <v>20</v>
      </c>
      <c r="I173" s="8" t="s">
        <v>21</v>
      </c>
      <c r="J173" s="8" t="s">
        <v>22</v>
      </c>
      <c r="K173" s="8" t="s">
        <v>110</v>
      </c>
      <c r="L173" s="11">
        <v>10.4</v>
      </c>
      <c r="M173" s="11">
        <v>13.2</v>
      </c>
      <c r="N173" s="11">
        <v>13.9</v>
      </c>
      <c r="O173" s="11">
        <f>L173*4</f>
        <v>41.6</v>
      </c>
      <c r="P173" s="11">
        <f>M173*4</f>
        <v>52.8</v>
      </c>
      <c r="Q173" s="11">
        <f>N173*4</f>
        <v>55.6</v>
      </c>
      <c r="R173" s="12">
        <f>(4/3)*3.14*(Q173/2)^3</f>
        <v>89950.332373333338</v>
      </c>
      <c r="S173" s="12">
        <f>R173/1000</f>
        <v>89.950332373333339</v>
      </c>
    </row>
    <row r="174" spans="1:19" x14ac:dyDescent="0.25">
      <c r="A174" s="7">
        <v>173</v>
      </c>
      <c r="B174" s="8" t="s">
        <v>31</v>
      </c>
      <c r="C174" s="8" t="s">
        <v>611</v>
      </c>
      <c r="D174" s="7" t="s">
        <v>706</v>
      </c>
      <c r="E174" s="8" t="s">
        <v>744</v>
      </c>
      <c r="F174" s="9">
        <v>10</v>
      </c>
      <c r="G174" s="10" t="s">
        <v>42</v>
      </c>
      <c r="H174" s="8" t="s">
        <v>26</v>
      </c>
      <c r="I174" s="8" t="s">
        <v>27</v>
      </c>
      <c r="J174" s="8" t="s">
        <v>22</v>
      </c>
      <c r="K174" s="8" t="s">
        <v>110</v>
      </c>
      <c r="L174" s="11">
        <v>9.8000000000000007</v>
      </c>
      <c r="M174" s="11">
        <v>21</v>
      </c>
      <c r="N174" s="11">
        <v>12.9</v>
      </c>
      <c r="O174" s="11">
        <f>L174*4</f>
        <v>39.200000000000003</v>
      </c>
      <c r="P174" s="11">
        <f>M174*4</f>
        <v>84</v>
      </c>
      <c r="Q174" s="11">
        <f>N174*4</f>
        <v>51.6</v>
      </c>
      <c r="R174" s="12">
        <f>4/3*3.14*(Q174/2)*(Q174/2)*(P174/2)</f>
        <v>117046.1376</v>
      </c>
      <c r="S174" s="12">
        <f>R174/1000</f>
        <v>117.04613760000001</v>
      </c>
    </row>
    <row r="175" spans="1:19" x14ac:dyDescent="0.25">
      <c r="A175" s="7">
        <v>174</v>
      </c>
      <c r="B175" s="8" t="s">
        <v>31</v>
      </c>
      <c r="C175" s="8" t="s">
        <v>562</v>
      </c>
      <c r="D175" s="7" t="s">
        <v>706</v>
      </c>
      <c r="E175" s="8" t="s">
        <v>744</v>
      </c>
      <c r="F175" s="9">
        <v>7</v>
      </c>
      <c r="G175" s="10" t="s">
        <v>33</v>
      </c>
      <c r="H175" s="8" t="s">
        <v>86</v>
      </c>
      <c r="I175" s="8" t="s">
        <v>86</v>
      </c>
      <c r="J175" s="8" t="s">
        <v>22</v>
      </c>
      <c r="K175" s="8"/>
      <c r="L175" s="11">
        <v>8</v>
      </c>
      <c r="M175" s="11">
        <v>5.7</v>
      </c>
      <c r="N175" s="11">
        <v>10.9</v>
      </c>
      <c r="O175" s="11">
        <f>L175*4</f>
        <v>32</v>
      </c>
      <c r="P175" s="11">
        <f>M175*4</f>
        <v>22.8</v>
      </c>
      <c r="Q175" s="11">
        <f>N175*4</f>
        <v>43.6</v>
      </c>
      <c r="R175" s="12">
        <f>4/3*3.14*(Q175/2)*(Q175/2)*(P175/2)</f>
        <v>22682.254720000001</v>
      </c>
      <c r="S175" s="12">
        <f>R175/1000</f>
        <v>22.68225472</v>
      </c>
    </row>
    <row r="176" spans="1:19" x14ac:dyDescent="0.25">
      <c r="A176" s="7">
        <v>175</v>
      </c>
      <c r="B176" s="8" t="s">
        <v>31</v>
      </c>
      <c r="C176" s="8" t="s">
        <v>612</v>
      </c>
      <c r="D176" s="7" t="s">
        <v>706</v>
      </c>
      <c r="E176" s="8" t="s">
        <v>744</v>
      </c>
      <c r="F176" s="9">
        <v>10</v>
      </c>
      <c r="G176" s="10" t="s">
        <v>42</v>
      </c>
      <c r="H176" s="8" t="s">
        <v>154</v>
      </c>
      <c r="I176" s="8" t="s">
        <v>155</v>
      </c>
      <c r="J176" s="8" t="s">
        <v>28</v>
      </c>
      <c r="K176" s="8"/>
      <c r="L176" s="11">
        <v>11.5</v>
      </c>
      <c r="M176" s="11">
        <v>20.399999999999999</v>
      </c>
      <c r="N176" s="11">
        <v>17.2</v>
      </c>
      <c r="O176" s="11">
        <f>L176*4</f>
        <v>46</v>
      </c>
      <c r="P176" s="11">
        <f>M176*4</f>
        <v>81.599999999999994</v>
      </c>
      <c r="Q176" s="11">
        <f>N176*4</f>
        <v>68.8</v>
      </c>
      <c r="R176" s="12">
        <f>4/3*3.14*(Q176/2)*(Q176/2)*(P176/2)</f>
        <v>202136.82175999996</v>
      </c>
      <c r="S176" s="12">
        <f>R176/1000</f>
        <v>202.13682175999998</v>
      </c>
    </row>
    <row r="177" spans="1:19" x14ac:dyDescent="0.25">
      <c r="A177" s="7">
        <v>176</v>
      </c>
      <c r="B177" s="8" t="s">
        <v>31</v>
      </c>
      <c r="C177" s="8" t="s">
        <v>563</v>
      </c>
      <c r="D177" s="7" t="s">
        <v>706</v>
      </c>
      <c r="E177" s="8" t="s">
        <v>744</v>
      </c>
      <c r="F177" s="9">
        <v>7</v>
      </c>
      <c r="G177" s="10" t="s">
        <v>33</v>
      </c>
      <c r="H177" s="8" t="s">
        <v>26</v>
      </c>
      <c r="I177" s="8" t="s">
        <v>27</v>
      </c>
      <c r="J177" s="8" t="s">
        <v>22</v>
      </c>
      <c r="K177" s="8"/>
      <c r="L177" s="11">
        <v>9.6</v>
      </c>
      <c r="M177" s="11">
        <v>5.5</v>
      </c>
      <c r="N177" s="11">
        <v>11.5</v>
      </c>
      <c r="O177" s="11">
        <f>L177*4</f>
        <v>38.4</v>
      </c>
      <c r="P177" s="11">
        <f>M177*4</f>
        <v>22</v>
      </c>
      <c r="Q177" s="11">
        <f>N177*4</f>
        <v>46</v>
      </c>
      <c r="R177" s="12">
        <f>4/3*3.14*(Q177/2)*(Q177/2)*(P177/2)</f>
        <v>24362.213333333337</v>
      </c>
      <c r="S177" s="12">
        <f>R177/1000</f>
        <v>24.362213333333337</v>
      </c>
    </row>
    <row r="178" spans="1:19" x14ac:dyDescent="0.25">
      <c r="A178" s="7">
        <v>177</v>
      </c>
      <c r="B178" s="8" t="s">
        <v>113</v>
      </c>
      <c r="C178" s="8" t="s">
        <v>205</v>
      </c>
      <c r="D178" s="7" t="s">
        <v>707</v>
      </c>
      <c r="E178" s="8" t="s">
        <v>744</v>
      </c>
      <c r="F178" s="9">
        <v>4</v>
      </c>
      <c r="G178" s="10" t="s">
        <v>19</v>
      </c>
      <c r="H178" s="8" t="s">
        <v>100</v>
      </c>
      <c r="I178" s="8" t="s">
        <v>21</v>
      </c>
      <c r="J178" s="8" t="s">
        <v>22</v>
      </c>
      <c r="K178" s="8"/>
      <c r="L178" s="11">
        <v>2.5</v>
      </c>
      <c r="M178" s="11">
        <v>1.4</v>
      </c>
      <c r="N178" s="11">
        <v>2.5</v>
      </c>
      <c r="O178" s="11">
        <f>L178*4</f>
        <v>10</v>
      </c>
      <c r="P178" s="11">
        <f>M178*4</f>
        <v>5.6</v>
      </c>
      <c r="Q178" s="11">
        <f>N178*4</f>
        <v>10</v>
      </c>
      <c r="R178" s="12">
        <f>2/3*3.14*(Q178/2)^3</f>
        <v>261.66666666666669</v>
      </c>
      <c r="S178" s="12">
        <f>R178/1000</f>
        <v>0.26166666666666666</v>
      </c>
    </row>
    <row r="179" spans="1:19" x14ac:dyDescent="0.25">
      <c r="A179" s="7">
        <v>178</v>
      </c>
      <c r="B179" s="8" t="s">
        <v>113</v>
      </c>
      <c r="C179" s="8" t="s">
        <v>206</v>
      </c>
      <c r="D179" s="7" t="s">
        <v>707</v>
      </c>
      <c r="E179" s="8" t="s">
        <v>744</v>
      </c>
      <c r="F179" s="9">
        <v>4</v>
      </c>
      <c r="G179" s="10" t="s">
        <v>19</v>
      </c>
      <c r="H179" s="8" t="s">
        <v>45</v>
      </c>
      <c r="I179" s="8" t="s">
        <v>21</v>
      </c>
      <c r="J179" s="8" t="s">
        <v>22</v>
      </c>
      <c r="K179" s="8"/>
      <c r="L179" s="11">
        <v>3</v>
      </c>
      <c r="M179" s="11">
        <v>1.7</v>
      </c>
      <c r="N179" s="11">
        <v>3</v>
      </c>
      <c r="O179" s="11">
        <f>L179*4</f>
        <v>12</v>
      </c>
      <c r="P179" s="11">
        <f>M179*4</f>
        <v>6.8</v>
      </c>
      <c r="Q179" s="11">
        <f>N179*4</f>
        <v>12</v>
      </c>
      <c r="R179" s="12">
        <f>2/3*3.14*(Q179/2)^3</f>
        <v>452.15999999999997</v>
      </c>
      <c r="S179" s="12">
        <f>R179/1000</f>
        <v>0.45215999999999995</v>
      </c>
    </row>
    <row r="180" spans="1:19" x14ac:dyDescent="0.25">
      <c r="A180" s="7">
        <v>179</v>
      </c>
      <c r="B180" s="8" t="s">
        <v>113</v>
      </c>
      <c r="C180" s="8" t="s">
        <v>114</v>
      </c>
      <c r="D180" s="7" t="s">
        <v>707</v>
      </c>
      <c r="E180" s="8" t="s">
        <v>744</v>
      </c>
      <c r="F180" s="9">
        <v>2</v>
      </c>
      <c r="G180" s="10" t="s">
        <v>19</v>
      </c>
      <c r="H180" s="8" t="s">
        <v>115</v>
      </c>
      <c r="I180" s="8" t="s">
        <v>21</v>
      </c>
      <c r="J180" s="8" t="s">
        <v>22</v>
      </c>
      <c r="K180" s="8"/>
      <c r="L180" s="11">
        <v>2.5</v>
      </c>
      <c r="M180" s="11">
        <v>1.9</v>
      </c>
      <c r="N180" s="11">
        <v>2.5</v>
      </c>
      <c r="O180" s="11">
        <f>L180*4</f>
        <v>10</v>
      </c>
      <c r="P180" s="11">
        <f>M180*4</f>
        <v>7.6</v>
      </c>
      <c r="Q180" s="11">
        <f>N180*4</f>
        <v>10</v>
      </c>
      <c r="R180" s="12">
        <f>(1/3)*3.14*P180^2*(3*(Q180/2)-P180)</f>
        <v>447.37045333333333</v>
      </c>
      <c r="S180" s="12">
        <f>R180/1000</f>
        <v>0.44737045333333331</v>
      </c>
    </row>
    <row r="181" spans="1:19" x14ac:dyDescent="0.25">
      <c r="A181" s="7">
        <v>180</v>
      </c>
      <c r="B181" s="8" t="s">
        <v>113</v>
      </c>
      <c r="C181" s="8" t="s">
        <v>207</v>
      </c>
      <c r="D181" s="7" t="s">
        <v>707</v>
      </c>
      <c r="E181" s="8" t="s">
        <v>744</v>
      </c>
      <c r="F181" s="9">
        <v>4</v>
      </c>
      <c r="G181" s="10" t="s">
        <v>25</v>
      </c>
      <c r="H181" s="8" t="s">
        <v>115</v>
      </c>
      <c r="I181" s="8" t="s">
        <v>21</v>
      </c>
      <c r="J181" s="8" t="s">
        <v>22</v>
      </c>
      <c r="K181" s="8"/>
      <c r="L181" s="11">
        <v>5.4</v>
      </c>
      <c r="M181" s="11">
        <v>3.1</v>
      </c>
      <c r="N181" s="11">
        <v>5.4</v>
      </c>
      <c r="O181" s="11">
        <f>L181*4</f>
        <v>21.6</v>
      </c>
      <c r="P181" s="11">
        <f>M181*4</f>
        <v>12.4</v>
      </c>
      <c r="Q181" s="11">
        <f>N181*4</f>
        <v>21.6</v>
      </c>
      <c r="R181" s="12">
        <f>2/3*3.14*(Q181/2)^3</f>
        <v>2636.9971200000005</v>
      </c>
      <c r="S181" s="12">
        <f>R181/1000</f>
        <v>2.6369971200000006</v>
      </c>
    </row>
    <row r="182" spans="1:19" x14ac:dyDescent="0.25">
      <c r="A182" s="7">
        <v>181</v>
      </c>
      <c r="B182" s="8" t="s">
        <v>113</v>
      </c>
      <c r="C182" s="8" t="s">
        <v>208</v>
      </c>
      <c r="D182" s="7" t="s">
        <v>707</v>
      </c>
      <c r="E182" s="8" t="s">
        <v>744</v>
      </c>
      <c r="F182" s="9">
        <v>4</v>
      </c>
      <c r="G182" s="10" t="s">
        <v>25</v>
      </c>
      <c r="H182" s="8" t="s">
        <v>115</v>
      </c>
      <c r="I182" s="8" t="s">
        <v>21</v>
      </c>
      <c r="J182" s="8" t="s">
        <v>22</v>
      </c>
      <c r="K182" s="8"/>
      <c r="L182" s="11">
        <v>5.2</v>
      </c>
      <c r="M182" s="11">
        <v>3.4</v>
      </c>
      <c r="N182" s="11">
        <v>5.2</v>
      </c>
      <c r="O182" s="11">
        <f>L182*4</f>
        <v>20.8</v>
      </c>
      <c r="P182" s="11">
        <f>M182*4</f>
        <v>13.6</v>
      </c>
      <c r="Q182" s="11">
        <f>N182*4</f>
        <v>20.8</v>
      </c>
      <c r="R182" s="12">
        <f>2/3*3.14*(Q182/2)^3</f>
        <v>2354.7153066666669</v>
      </c>
      <c r="S182" s="12">
        <f>R182/1000</f>
        <v>2.3547153066666668</v>
      </c>
    </row>
    <row r="183" spans="1:19" x14ac:dyDescent="0.25">
      <c r="A183" s="7">
        <v>182</v>
      </c>
      <c r="B183" s="8" t="s">
        <v>113</v>
      </c>
      <c r="C183" s="8" t="s">
        <v>209</v>
      </c>
      <c r="D183" s="7" t="s">
        <v>707</v>
      </c>
      <c r="E183" s="8" t="s">
        <v>744</v>
      </c>
      <c r="F183" s="9">
        <v>4</v>
      </c>
      <c r="G183" s="10" t="s">
        <v>25</v>
      </c>
      <c r="H183" s="8" t="s">
        <v>100</v>
      </c>
      <c r="I183" s="8" t="s">
        <v>21</v>
      </c>
      <c r="J183" s="8" t="s">
        <v>22</v>
      </c>
      <c r="K183" s="8"/>
      <c r="L183" s="11">
        <v>6.6</v>
      </c>
      <c r="M183" s="11">
        <v>3.6</v>
      </c>
      <c r="N183" s="11">
        <v>6.6</v>
      </c>
      <c r="O183" s="11">
        <f>L183*4</f>
        <v>26.4</v>
      </c>
      <c r="P183" s="11">
        <f>M183*4</f>
        <v>14.4</v>
      </c>
      <c r="Q183" s="11">
        <f>N183*4</f>
        <v>26.4</v>
      </c>
      <c r="R183" s="12">
        <f>2/3*3.14*(Q183/2)^3</f>
        <v>4814.5996799999994</v>
      </c>
      <c r="S183" s="12">
        <f>R183/1000</f>
        <v>4.8145996799999997</v>
      </c>
    </row>
    <row r="184" spans="1:19" x14ac:dyDescent="0.25">
      <c r="A184" s="7">
        <v>183</v>
      </c>
      <c r="B184" s="8" t="s">
        <v>113</v>
      </c>
      <c r="C184" s="8" t="s">
        <v>116</v>
      </c>
      <c r="D184" s="7" t="s">
        <v>707</v>
      </c>
      <c r="E184" s="8" t="s">
        <v>744</v>
      </c>
      <c r="F184" s="9">
        <v>2</v>
      </c>
      <c r="G184" s="10" t="s">
        <v>25</v>
      </c>
      <c r="H184" s="8" t="s">
        <v>45</v>
      </c>
      <c r="I184" s="8" t="s">
        <v>21</v>
      </c>
      <c r="J184" s="8" t="s">
        <v>22</v>
      </c>
      <c r="K184" s="8"/>
      <c r="L184" s="11">
        <v>4.8</v>
      </c>
      <c r="M184" s="11">
        <v>2.8</v>
      </c>
      <c r="N184" s="11">
        <v>4.8</v>
      </c>
      <c r="O184" s="11">
        <f>L184*4</f>
        <v>19.2</v>
      </c>
      <c r="P184" s="11">
        <f>M184*4</f>
        <v>11.2</v>
      </c>
      <c r="Q184" s="11">
        <f>N184*4</f>
        <v>19.2</v>
      </c>
      <c r="R184" s="12">
        <f>(1/3)*3.14*P184^2*(3*(Q184/2)-P184)</f>
        <v>2310.7720533333327</v>
      </c>
      <c r="S184" s="12">
        <f>R184/1000</f>
        <v>2.3107720533333325</v>
      </c>
    </row>
    <row r="185" spans="1:19" x14ac:dyDescent="0.25">
      <c r="A185" s="7">
        <v>184</v>
      </c>
      <c r="B185" s="8" t="s">
        <v>113</v>
      </c>
      <c r="C185" s="8" t="s">
        <v>117</v>
      </c>
      <c r="D185" s="7" t="s">
        <v>707</v>
      </c>
      <c r="E185" s="8" t="s">
        <v>744</v>
      </c>
      <c r="F185" s="9">
        <v>2</v>
      </c>
      <c r="G185" s="10" t="s">
        <v>33</v>
      </c>
      <c r="H185" s="8" t="s">
        <v>45</v>
      </c>
      <c r="I185" s="8" t="s">
        <v>21</v>
      </c>
      <c r="J185" s="8" t="s">
        <v>22</v>
      </c>
      <c r="K185" s="8"/>
      <c r="L185" s="11">
        <v>7.6</v>
      </c>
      <c r="M185" s="11">
        <v>4</v>
      </c>
      <c r="N185" s="11">
        <v>7.6</v>
      </c>
      <c r="O185" s="11">
        <f>L185*4</f>
        <v>30.4</v>
      </c>
      <c r="P185" s="11">
        <f>M185*4</f>
        <v>16</v>
      </c>
      <c r="Q185" s="11">
        <f>N185*4</f>
        <v>30.4</v>
      </c>
      <c r="R185" s="12">
        <f>(1/3)*3.14*P185^2*(3*(Q185/2)-P185)</f>
        <v>7931.2213333333311</v>
      </c>
      <c r="S185" s="12">
        <f>R185/1000</f>
        <v>7.9312213333333315</v>
      </c>
    </row>
    <row r="186" spans="1:19" x14ac:dyDescent="0.25">
      <c r="A186" s="7">
        <v>185</v>
      </c>
      <c r="B186" s="8" t="s">
        <v>113</v>
      </c>
      <c r="C186" s="8" t="s">
        <v>210</v>
      </c>
      <c r="D186" s="7" t="s">
        <v>707</v>
      </c>
      <c r="E186" s="8" t="s">
        <v>744</v>
      </c>
      <c r="F186" s="9">
        <v>4</v>
      </c>
      <c r="G186" s="10" t="s">
        <v>25</v>
      </c>
      <c r="H186" s="8" t="s">
        <v>115</v>
      </c>
      <c r="I186" s="8" t="s">
        <v>21</v>
      </c>
      <c r="J186" s="8" t="s">
        <v>22</v>
      </c>
      <c r="K186" s="8"/>
      <c r="L186" s="11">
        <v>6.4</v>
      </c>
      <c r="M186" s="11">
        <v>2.5</v>
      </c>
      <c r="N186" s="11">
        <v>6.4</v>
      </c>
      <c r="O186" s="11">
        <f>L186*4</f>
        <v>25.6</v>
      </c>
      <c r="P186" s="11">
        <f>M186*4</f>
        <v>10</v>
      </c>
      <c r="Q186" s="11">
        <f>N186*4</f>
        <v>25.6</v>
      </c>
      <c r="R186" s="12">
        <f>2/3*3.14*(Q186/2)^3</f>
        <v>4390.0381866666676</v>
      </c>
      <c r="S186" s="12">
        <f>R186/1000</f>
        <v>4.3900381866666676</v>
      </c>
    </row>
    <row r="187" spans="1:19" x14ac:dyDescent="0.25">
      <c r="A187" s="7">
        <v>186</v>
      </c>
      <c r="B187" s="8" t="s">
        <v>113</v>
      </c>
      <c r="C187" s="8" t="s">
        <v>211</v>
      </c>
      <c r="D187" s="7" t="s">
        <v>707</v>
      </c>
      <c r="E187" s="8" t="s">
        <v>744</v>
      </c>
      <c r="F187" s="9">
        <v>4</v>
      </c>
      <c r="G187" s="10" t="s">
        <v>25</v>
      </c>
      <c r="H187" s="8" t="s">
        <v>115</v>
      </c>
      <c r="I187" s="8" t="s">
        <v>21</v>
      </c>
      <c r="J187" s="8" t="s">
        <v>22</v>
      </c>
      <c r="K187" s="8"/>
      <c r="L187" s="11">
        <v>5.5</v>
      </c>
      <c r="M187" s="11">
        <v>4</v>
      </c>
      <c r="N187" s="11">
        <v>5.7</v>
      </c>
      <c r="O187" s="11">
        <f>L187*4</f>
        <v>22</v>
      </c>
      <c r="P187" s="11">
        <f>M187*4</f>
        <v>16</v>
      </c>
      <c r="Q187" s="11">
        <f>N187*4</f>
        <v>22.8</v>
      </c>
      <c r="R187" s="12">
        <f>2/3*3.14*(Q187/2)^3</f>
        <v>3101.36544</v>
      </c>
      <c r="S187" s="12">
        <f>R187/1000</f>
        <v>3.1013654399999999</v>
      </c>
    </row>
    <row r="188" spans="1:19" x14ac:dyDescent="0.25">
      <c r="A188" s="7">
        <v>187</v>
      </c>
      <c r="B188" s="8" t="s">
        <v>113</v>
      </c>
      <c r="C188" s="8" t="s">
        <v>118</v>
      </c>
      <c r="D188" s="7" t="s">
        <v>707</v>
      </c>
      <c r="E188" s="8" t="s">
        <v>744</v>
      </c>
      <c r="F188" s="9">
        <v>2</v>
      </c>
      <c r="G188" s="10" t="s">
        <v>33</v>
      </c>
      <c r="H188" s="8" t="s">
        <v>100</v>
      </c>
      <c r="I188" s="8" t="s">
        <v>21</v>
      </c>
      <c r="J188" s="8" t="s">
        <v>22</v>
      </c>
      <c r="K188" s="8"/>
      <c r="L188" s="11">
        <v>7.8</v>
      </c>
      <c r="M188" s="11">
        <v>4.5999999999999996</v>
      </c>
      <c r="N188" s="11">
        <v>7.8</v>
      </c>
      <c r="O188" s="11">
        <f>L188*4</f>
        <v>31.2</v>
      </c>
      <c r="P188" s="11">
        <f>M188*4</f>
        <v>18.399999999999999</v>
      </c>
      <c r="Q188" s="11">
        <f>N188*4</f>
        <v>31.2</v>
      </c>
      <c r="R188" s="12">
        <f>(1/3)*3.14*P188^2*(3*(Q188/2)-P188)</f>
        <v>10063.80885333333</v>
      </c>
      <c r="S188" s="12">
        <f>R188/1000</f>
        <v>10.063808853333331</v>
      </c>
    </row>
    <row r="189" spans="1:19" x14ac:dyDescent="0.25">
      <c r="A189" s="7">
        <v>188</v>
      </c>
      <c r="B189" s="8" t="s">
        <v>113</v>
      </c>
      <c r="C189" s="8" t="s">
        <v>212</v>
      </c>
      <c r="D189" s="7" t="s">
        <v>707</v>
      </c>
      <c r="E189" s="8" t="s">
        <v>744</v>
      </c>
      <c r="F189" s="9">
        <v>4</v>
      </c>
      <c r="G189" s="10" t="s">
        <v>33</v>
      </c>
      <c r="H189" s="8" t="s">
        <v>100</v>
      </c>
      <c r="I189" s="8" t="s">
        <v>21</v>
      </c>
      <c r="J189" s="8" t="s">
        <v>22</v>
      </c>
      <c r="K189" s="8"/>
      <c r="L189" s="11">
        <v>7.5</v>
      </c>
      <c r="M189" s="11">
        <v>4.4000000000000004</v>
      </c>
      <c r="N189" s="11">
        <v>7.5</v>
      </c>
      <c r="O189" s="11">
        <f>L189*4</f>
        <v>30</v>
      </c>
      <c r="P189" s="11">
        <f>M189*4</f>
        <v>17.600000000000001</v>
      </c>
      <c r="Q189" s="11">
        <f>N189*4</f>
        <v>30</v>
      </c>
      <c r="R189" s="12">
        <f>2/3*3.14*(Q189/2)^3</f>
        <v>7065</v>
      </c>
      <c r="S189" s="12">
        <f>R189/1000</f>
        <v>7.0650000000000004</v>
      </c>
    </row>
    <row r="190" spans="1:19" x14ac:dyDescent="0.25">
      <c r="A190" s="7">
        <v>189</v>
      </c>
      <c r="B190" s="8" t="s">
        <v>113</v>
      </c>
      <c r="C190" s="8" t="s">
        <v>339</v>
      </c>
      <c r="D190" s="7" t="s">
        <v>708</v>
      </c>
      <c r="E190" s="8" t="s">
        <v>744</v>
      </c>
      <c r="F190" s="9">
        <v>5</v>
      </c>
      <c r="G190" s="10" t="s">
        <v>33</v>
      </c>
      <c r="H190" s="8" t="s">
        <v>115</v>
      </c>
      <c r="I190" s="8" t="s">
        <v>21</v>
      </c>
      <c r="J190" s="8" t="s">
        <v>22</v>
      </c>
      <c r="K190" s="8"/>
      <c r="L190" s="11">
        <v>5.3</v>
      </c>
      <c r="M190" s="11">
        <v>4.0999999999999996</v>
      </c>
      <c r="N190" s="11">
        <v>6</v>
      </c>
      <c r="O190" s="11">
        <f>L190*4</f>
        <v>21.2</v>
      </c>
      <c r="P190" s="11">
        <f>M190*4</f>
        <v>16.399999999999999</v>
      </c>
      <c r="Q190" s="11">
        <f>N190*4</f>
        <v>24</v>
      </c>
      <c r="R190" s="12">
        <f>(4/3)*3.14*(Q190/2)^3</f>
        <v>7234.5599999999995</v>
      </c>
      <c r="S190" s="12">
        <f>R190/1000</f>
        <v>7.2345599999999992</v>
      </c>
    </row>
    <row r="191" spans="1:19" x14ac:dyDescent="0.25">
      <c r="A191" s="7">
        <v>190</v>
      </c>
      <c r="B191" s="8" t="s">
        <v>113</v>
      </c>
      <c r="C191" s="8" t="s">
        <v>596</v>
      </c>
      <c r="D191" s="7" t="s">
        <v>709</v>
      </c>
      <c r="E191" s="8" t="s">
        <v>744</v>
      </c>
      <c r="F191" s="9">
        <v>9</v>
      </c>
      <c r="G191" s="10" t="s">
        <v>25</v>
      </c>
      <c r="H191" s="8" t="s">
        <v>20</v>
      </c>
      <c r="I191" s="8" t="s">
        <v>21</v>
      </c>
      <c r="J191" s="8" t="s">
        <v>22</v>
      </c>
      <c r="K191" s="8"/>
      <c r="L191" s="11">
        <v>3.3</v>
      </c>
      <c r="M191" s="11">
        <v>3.7</v>
      </c>
      <c r="N191" s="11">
        <v>3.3</v>
      </c>
      <c r="O191" s="11">
        <f>L191*4</f>
        <v>13.2</v>
      </c>
      <c r="P191" s="11">
        <f>M191*4</f>
        <v>14.8</v>
      </c>
      <c r="Q191" s="11">
        <f>N191*4</f>
        <v>13.2</v>
      </c>
      <c r="R191" s="12">
        <f>4/3*3.14*(Q191/2)*(Q191/2)*(P191/2)</f>
        <v>1349.5468799999999</v>
      </c>
      <c r="S191" s="12">
        <f>R191/1000</f>
        <v>1.3495468799999999</v>
      </c>
    </row>
    <row r="192" spans="1:19" x14ac:dyDescent="0.25">
      <c r="A192" s="7">
        <v>191</v>
      </c>
      <c r="B192" s="8" t="s">
        <v>113</v>
      </c>
      <c r="C192" s="8" t="s">
        <v>597</v>
      </c>
      <c r="D192" s="7" t="s">
        <v>707</v>
      </c>
      <c r="E192" s="8" t="s">
        <v>744</v>
      </c>
      <c r="F192" s="9">
        <v>9</v>
      </c>
      <c r="G192" s="10" t="s">
        <v>19</v>
      </c>
      <c r="H192" s="8" t="s">
        <v>115</v>
      </c>
      <c r="I192" s="8" t="s">
        <v>21</v>
      </c>
      <c r="J192" s="8" t="s">
        <v>22</v>
      </c>
      <c r="K192" s="8"/>
      <c r="L192" s="11">
        <v>2.2999999999999998</v>
      </c>
      <c r="M192" s="11">
        <v>2.6</v>
      </c>
      <c r="N192" s="11">
        <v>2.2999999999999998</v>
      </c>
      <c r="O192" s="11">
        <f>L192*4</f>
        <v>9.1999999999999993</v>
      </c>
      <c r="P192" s="11">
        <f>M192*4</f>
        <v>10.4</v>
      </c>
      <c r="Q192" s="11">
        <f>N192*4</f>
        <v>9.1999999999999993</v>
      </c>
      <c r="R192" s="12">
        <f>4/3*3.14*(Q192/2)*(Q192/2)*(P192/2)</f>
        <v>460.66730666666655</v>
      </c>
      <c r="S192" s="12">
        <f>R192/1000</f>
        <v>0.46066730666666655</v>
      </c>
    </row>
    <row r="193" spans="1:19" x14ac:dyDescent="0.25">
      <c r="A193" s="7">
        <v>192</v>
      </c>
      <c r="B193" s="8" t="s">
        <v>113</v>
      </c>
      <c r="C193" s="8" t="s">
        <v>589</v>
      </c>
      <c r="D193" s="7" t="s">
        <v>708</v>
      </c>
      <c r="E193" s="8" t="s">
        <v>744</v>
      </c>
      <c r="F193" s="9">
        <v>8</v>
      </c>
      <c r="G193" s="10" t="s">
        <v>19</v>
      </c>
      <c r="H193" s="8" t="s">
        <v>20</v>
      </c>
      <c r="I193" s="8" t="s">
        <v>21</v>
      </c>
      <c r="J193" s="8" t="s">
        <v>22</v>
      </c>
      <c r="K193" s="8"/>
      <c r="L193" s="11">
        <v>3.3</v>
      </c>
      <c r="M193" s="11">
        <v>1.1000000000000001</v>
      </c>
      <c r="N193" s="11">
        <v>4.3</v>
      </c>
      <c r="O193" s="11">
        <f>L193*4</f>
        <v>13.2</v>
      </c>
      <c r="P193" s="11">
        <f>M193*4</f>
        <v>4.4000000000000004</v>
      </c>
      <c r="Q193" s="11">
        <f>N193*4</f>
        <v>17.2</v>
      </c>
      <c r="R193" s="12">
        <f>4/3*3.14*(Q193/2)*(Q193/2)*(P193/2)</f>
        <v>681.22090666666656</v>
      </c>
      <c r="S193" s="12">
        <f>R193/1000</f>
        <v>0.68122090666666657</v>
      </c>
    </row>
    <row r="194" spans="1:19" x14ac:dyDescent="0.25">
      <c r="A194" s="7">
        <v>193</v>
      </c>
      <c r="B194" s="8" t="s">
        <v>113</v>
      </c>
      <c r="C194" s="8" t="s">
        <v>590</v>
      </c>
      <c r="D194" s="7" t="s">
        <v>710</v>
      </c>
      <c r="E194" s="8" t="s">
        <v>744</v>
      </c>
      <c r="F194" s="9">
        <v>8</v>
      </c>
      <c r="G194" s="10" t="s">
        <v>25</v>
      </c>
      <c r="H194" s="8" t="s">
        <v>20</v>
      </c>
      <c r="I194" s="8" t="s">
        <v>21</v>
      </c>
      <c r="J194" s="8" t="s">
        <v>22</v>
      </c>
      <c r="K194" s="8"/>
      <c r="L194" s="11">
        <v>4.7</v>
      </c>
      <c r="M194" s="11">
        <v>1.6</v>
      </c>
      <c r="N194" s="11">
        <v>5.9</v>
      </c>
      <c r="O194" s="11">
        <f>L194*4</f>
        <v>18.8</v>
      </c>
      <c r="P194" s="11">
        <f>M194*4</f>
        <v>6.4</v>
      </c>
      <c r="Q194" s="11">
        <f>N194*4</f>
        <v>23.6</v>
      </c>
      <c r="R194" s="12">
        <f>4/3*3.14*(Q194/2)*(Q194/2)*(P194/2)</f>
        <v>1865.4446933333338</v>
      </c>
      <c r="S194" s="12">
        <f>R194/1000</f>
        <v>1.8654446933333337</v>
      </c>
    </row>
    <row r="195" spans="1:19" x14ac:dyDescent="0.25">
      <c r="A195" s="7">
        <v>194</v>
      </c>
      <c r="B195" s="8" t="s">
        <v>113</v>
      </c>
      <c r="C195" s="8" t="s">
        <v>340</v>
      </c>
      <c r="D195" s="7" t="s">
        <v>707</v>
      </c>
      <c r="E195" s="8" t="s">
        <v>744</v>
      </c>
      <c r="F195" s="9">
        <v>5</v>
      </c>
      <c r="G195" s="10" t="s">
        <v>25</v>
      </c>
      <c r="H195" s="8" t="s">
        <v>154</v>
      </c>
      <c r="I195" s="8" t="s">
        <v>155</v>
      </c>
      <c r="J195" s="8" t="s">
        <v>22</v>
      </c>
      <c r="K195" s="8"/>
      <c r="L195" s="11">
        <v>2.9</v>
      </c>
      <c r="M195" s="11">
        <v>2.9</v>
      </c>
      <c r="N195" s="11">
        <v>3.6</v>
      </c>
      <c r="O195" s="11">
        <f>L195*4</f>
        <v>11.6</v>
      </c>
      <c r="P195" s="11">
        <f>M195*4</f>
        <v>11.6</v>
      </c>
      <c r="Q195" s="11">
        <f>N195*4</f>
        <v>14.4</v>
      </c>
      <c r="R195" s="12">
        <f>(4/3)*3.14*(Q195/2)^3</f>
        <v>1562.6649600000001</v>
      </c>
      <c r="S195" s="12">
        <f>R195/1000</f>
        <v>1.56266496</v>
      </c>
    </row>
    <row r="196" spans="1:19" x14ac:dyDescent="0.25">
      <c r="A196" s="7">
        <v>195</v>
      </c>
      <c r="B196" s="8" t="s">
        <v>113</v>
      </c>
      <c r="C196" s="8" t="s">
        <v>341</v>
      </c>
      <c r="D196" s="7" t="s">
        <v>710</v>
      </c>
      <c r="E196" s="8" t="s">
        <v>744</v>
      </c>
      <c r="F196" s="9">
        <v>5</v>
      </c>
      <c r="G196" s="10" t="s">
        <v>25</v>
      </c>
      <c r="H196" s="8" t="s">
        <v>20</v>
      </c>
      <c r="I196" s="8" t="s">
        <v>21</v>
      </c>
      <c r="J196" s="8" t="s">
        <v>22</v>
      </c>
      <c r="K196" s="8"/>
      <c r="L196" s="11">
        <v>2.2999999999999998</v>
      </c>
      <c r="M196" s="11">
        <v>3</v>
      </c>
      <c r="N196" s="11">
        <v>3.8</v>
      </c>
      <c r="O196" s="11">
        <f>L196*4</f>
        <v>9.1999999999999993</v>
      </c>
      <c r="P196" s="11">
        <f>M196*4</f>
        <v>12</v>
      </c>
      <c r="Q196" s="11">
        <f>N196*4</f>
        <v>15.2</v>
      </c>
      <c r="R196" s="12">
        <f>(4/3)*3.14*(Q196/2)^3</f>
        <v>1837.8461866666664</v>
      </c>
      <c r="S196" s="12">
        <f>R196/1000</f>
        <v>1.8378461866666664</v>
      </c>
    </row>
    <row r="197" spans="1:19" x14ac:dyDescent="0.25">
      <c r="A197" s="7">
        <v>196</v>
      </c>
      <c r="B197" s="8" t="s">
        <v>113</v>
      </c>
      <c r="C197" s="8" t="s">
        <v>613</v>
      </c>
      <c r="D197" s="7" t="s">
        <v>707</v>
      </c>
      <c r="E197" s="8" t="s">
        <v>744</v>
      </c>
      <c r="F197" s="9">
        <v>10</v>
      </c>
      <c r="G197" s="10" t="s">
        <v>25</v>
      </c>
      <c r="H197" s="8" t="s">
        <v>20</v>
      </c>
      <c r="I197" s="8" t="s">
        <v>21</v>
      </c>
      <c r="J197" s="8" t="s">
        <v>22</v>
      </c>
      <c r="K197" s="8"/>
      <c r="L197" s="11">
        <v>3.4</v>
      </c>
      <c r="M197" s="11">
        <v>4.7</v>
      </c>
      <c r="N197" s="11">
        <v>4.4000000000000004</v>
      </c>
      <c r="O197" s="11">
        <f>L197*4</f>
        <v>13.6</v>
      </c>
      <c r="P197" s="11">
        <f>M197*4</f>
        <v>18.8</v>
      </c>
      <c r="Q197" s="11">
        <f>N197*4</f>
        <v>17.600000000000001</v>
      </c>
      <c r="R197" s="12">
        <f>4/3*3.14*(Q197/2)*(Q197/2)*(P197/2)</f>
        <v>3047.6253866666671</v>
      </c>
      <c r="S197" s="12">
        <f>R197/1000</f>
        <v>3.0476253866666672</v>
      </c>
    </row>
    <row r="198" spans="1:19" x14ac:dyDescent="0.25">
      <c r="A198" s="7">
        <v>197</v>
      </c>
      <c r="B198" s="8" t="s">
        <v>113</v>
      </c>
      <c r="C198" s="8" t="s">
        <v>342</v>
      </c>
      <c r="D198" s="7" t="s">
        <v>707</v>
      </c>
      <c r="E198" s="8" t="s">
        <v>744</v>
      </c>
      <c r="F198" s="9">
        <v>5</v>
      </c>
      <c r="G198" s="10" t="s">
        <v>25</v>
      </c>
      <c r="H198" s="8" t="s">
        <v>20</v>
      </c>
      <c r="I198" s="8" t="s">
        <v>21</v>
      </c>
      <c r="J198" s="8" t="s">
        <v>22</v>
      </c>
      <c r="K198" s="8"/>
      <c r="L198" s="11">
        <v>2.6</v>
      </c>
      <c r="M198" s="11">
        <v>3.8</v>
      </c>
      <c r="N198" s="11">
        <v>4</v>
      </c>
      <c r="O198" s="11">
        <f>L198*4</f>
        <v>10.4</v>
      </c>
      <c r="P198" s="11">
        <f>M198*4</f>
        <v>15.2</v>
      </c>
      <c r="Q198" s="11">
        <f>N198*4</f>
        <v>16</v>
      </c>
      <c r="R198" s="12">
        <f>(4/3)*3.14*(Q198/2)^3</f>
        <v>2143.5733333333333</v>
      </c>
      <c r="S198" s="12">
        <f>R198/1000</f>
        <v>2.1435733333333333</v>
      </c>
    </row>
    <row r="199" spans="1:19" x14ac:dyDescent="0.25">
      <c r="A199" s="7">
        <v>198</v>
      </c>
      <c r="B199" s="8" t="s">
        <v>113</v>
      </c>
      <c r="C199" s="8" t="s">
        <v>343</v>
      </c>
      <c r="D199" s="7" t="s">
        <v>707</v>
      </c>
      <c r="E199" s="8" t="s">
        <v>744</v>
      </c>
      <c r="F199" s="9">
        <v>5</v>
      </c>
      <c r="G199" s="10" t="s">
        <v>25</v>
      </c>
      <c r="H199" s="8" t="s">
        <v>115</v>
      </c>
      <c r="I199" s="8" t="s">
        <v>21</v>
      </c>
      <c r="J199" s="8" t="s">
        <v>22</v>
      </c>
      <c r="K199" s="8"/>
      <c r="L199" s="11">
        <v>2.7</v>
      </c>
      <c r="M199" s="11">
        <v>4.0999999999999996</v>
      </c>
      <c r="N199" s="11">
        <v>3.8</v>
      </c>
      <c r="O199" s="11">
        <f>L199*4</f>
        <v>10.8</v>
      </c>
      <c r="P199" s="11">
        <f>M199*4</f>
        <v>16.399999999999999</v>
      </c>
      <c r="Q199" s="11">
        <f>N199*4</f>
        <v>15.2</v>
      </c>
      <c r="R199" s="12">
        <f>(4/3)*3.14*(Q199/2)^3</f>
        <v>1837.8461866666664</v>
      </c>
      <c r="S199" s="12">
        <f>R199/1000</f>
        <v>1.8378461866666664</v>
      </c>
    </row>
    <row r="200" spans="1:19" x14ac:dyDescent="0.25">
      <c r="A200" s="7">
        <v>199</v>
      </c>
      <c r="B200" s="8" t="s">
        <v>113</v>
      </c>
      <c r="C200" s="8" t="s">
        <v>344</v>
      </c>
      <c r="D200" s="7" t="s">
        <v>710</v>
      </c>
      <c r="E200" s="8" t="s">
        <v>744</v>
      </c>
      <c r="F200" s="9">
        <v>5</v>
      </c>
      <c r="G200" s="10" t="s">
        <v>19</v>
      </c>
      <c r="H200" s="8" t="s">
        <v>154</v>
      </c>
      <c r="I200" s="8" t="s">
        <v>155</v>
      </c>
      <c r="J200" s="8" t="s">
        <v>22</v>
      </c>
      <c r="K200" s="8"/>
      <c r="L200" s="11">
        <v>1.5</v>
      </c>
      <c r="M200" s="11">
        <v>3</v>
      </c>
      <c r="N200" s="11">
        <v>3.1</v>
      </c>
      <c r="O200" s="11">
        <f>L200*4</f>
        <v>6</v>
      </c>
      <c r="P200" s="11">
        <f>M200*4</f>
        <v>12</v>
      </c>
      <c r="Q200" s="11">
        <f>N200*4</f>
        <v>12.4</v>
      </c>
      <c r="R200" s="12">
        <f>(4/3)*3.14*(Q200/2)^3</f>
        <v>997.79989333333344</v>
      </c>
      <c r="S200" s="12">
        <f>R200/1000</f>
        <v>0.99779989333333341</v>
      </c>
    </row>
    <row r="201" spans="1:19" x14ac:dyDescent="0.25">
      <c r="A201" s="7">
        <v>200</v>
      </c>
      <c r="B201" s="8" t="s">
        <v>113</v>
      </c>
      <c r="C201" s="8" t="s">
        <v>345</v>
      </c>
      <c r="D201" s="7" t="s">
        <v>710</v>
      </c>
      <c r="E201" s="8" t="s">
        <v>744</v>
      </c>
      <c r="F201" s="9">
        <v>5</v>
      </c>
      <c r="G201" s="10" t="s">
        <v>19</v>
      </c>
      <c r="H201" s="8" t="s">
        <v>154</v>
      </c>
      <c r="I201" s="8" t="s">
        <v>155</v>
      </c>
      <c r="J201" s="8" t="s">
        <v>22</v>
      </c>
      <c r="K201" s="8"/>
      <c r="L201" s="11">
        <v>1.6</v>
      </c>
      <c r="M201" s="11">
        <v>3.1</v>
      </c>
      <c r="N201" s="11">
        <v>3</v>
      </c>
      <c r="O201" s="11">
        <f>L201*4</f>
        <v>6.4</v>
      </c>
      <c r="P201" s="11">
        <f>M201*4</f>
        <v>12.4</v>
      </c>
      <c r="Q201" s="11">
        <f>N201*4</f>
        <v>12</v>
      </c>
      <c r="R201" s="12">
        <f>(4/3)*3.14*(Q201/2)^3</f>
        <v>904.31999999999994</v>
      </c>
      <c r="S201" s="12">
        <f>R201/1000</f>
        <v>0.9043199999999999</v>
      </c>
    </row>
    <row r="202" spans="1:19" x14ac:dyDescent="0.25">
      <c r="A202" s="7">
        <v>201</v>
      </c>
      <c r="B202" s="8" t="s">
        <v>113</v>
      </c>
      <c r="C202" s="8" t="s">
        <v>614</v>
      </c>
      <c r="D202" s="7" t="s">
        <v>710</v>
      </c>
      <c r="E202" s="8" t="s">
        <v>744</v>
      </c>
      <c r="F202" s="9">
        <v>10</v>
      </c>
      <c r="G202" s="10" t="s">
        <v>25</v>
      </c>
      <c r="H202" s="8" t="s">
        <v>154</v>
      </c>
      <c r="I202" s="8" t="s">
        <v>155</v>
      </c>
      <c r="J202" s="8" t="s">
        <v>22</v>
      </c>
      <c r="K202" s="8"/>
      <c r="L202" s="11">
        <v>2.1</v>
      </c>
      <c r="M202" s="11">
        <v>5.0999999999999996</v>
      </c>
      <c r="N202" s="11">
        <v>3.9</v>
      </c>
      <c r="O202" s="11">
        <f>L202*4</f>
        <v>8.4</v>
      </c>
      <c r="P202" s="11">
        <f>M202*4</f>
        <v>20.399999999999999</v>
      </c>
      <c r="Q202" s="11">
        <f>N202*4</f>
        <v>15.6</v>
      </c>
      <c r="R202" s="12">
        <f>4/3*3.14*(Q202/2)*(Q202/2)*(P202/2)</f>
        <v>2598.1113599999994</v>
      </c>
      <c r="S202" s="12">
        <f>R202/1000</f>
        <v>2.5981113599999994</v>
      </c>
    </row>
    <row r="203" spans="1:19" x14ac:dyDescent="0.25">
      <c r="A203" s="7">
        <v>202</v>
      </c>
      <c r="B203" s="8" t="s">
        <v>113</v>
      </c>
      <c r="C203" s="8" t="s">
        <v>346</v>
      </c>
      <c r="D203" s="7" t="s">
        <v>709</v>
      </c>
      <c r="E203" s="8" t="s">
        <v>744</v>
      </c>
      <c r="F203" s="9">
        <v>5</v>
      </c>
      <c r="G203" s="10" t="s">
        <v>19</v>
      </c>
      <c r="H203" s="8" t="s">
        <v>154</v>
      </c>
      <c r="I203" s="8" t="s">
        <v>155</v>
      </c>
      <c r="J203" s="8" t="s">
        <v>22</v>
      </c>
      <c r="K203" s="8"/>
      <c r="L203" s="11">
        <v>1.5</v>
      </c>
      <c r="M203" s="11">
        <v>2</v>
      </c>
      <c r="N203" s="11">
        <v>2.1</v>
      </c>
      <c r="O203" s="11">
        <f>L203*4</f>
        <v>6</v>
      </c>
      <c r="P203" s="11">
        <f>M203*4</f>
        <v>8</v>
      </c>
      <c r="Q203" s="11">
        <f>N203*4</f>
        <v>8.4</v>
      </c>
      <c r="R203" s="12">
        <f>(4/3)*3.14*(Q203/2)^3</f>
        <v>310.18176</v>
      </c>
      <c r="S203" s="12">
        <f>R203/1000</f>
        <v>0.31018175999999997</v>
      </c>
    </row>
    <row r="204" spans="1:19" x14ac:dyDescent="0.25">
      <c r="A204" s="7">
        <v>203</v>
      </c>
      <c r="B204" s="8" t="s">
        <v>113</v>
      </c>
      <c r="C204" s="8" t="s">
        <v>615</v>
      </c>
      <c r="D204" s="7" t="s">
        <v>707</v>
      </c>
      <c r="E204" s="8" t="s">
        <v>744</v>
      </c>
      <c r="F204" s="9">
        <v>10</v>
      </c>
      <c r="G204" s="10" t="s">
        <v>33</v>
      </c>
      <c r="H204" s="8" t="s">
        <v>522</v>
      </c>
      <c r="I204" s="8" t="s">
        <v>27</v>
      </c>
      <c r="J204" s="8" t="s">
        <v>22</v>
      </c>
      <c r="K204" s="8"/>
      <c r="L204" s="11">
        <v>5.3</v>
      </c>
      <c r="M204" s="11">
        <v>7.1</v>
      </c>
      <c r="N204" s="11">
        <v>6.4</v>
      </c>
      <c r="O204" s="11">
        <f>L204*4</f>
        <v>21.2</v>
      </c>
      <c r="P204" s="11">
        <f>M204*4</f>
        <v>28.4</v>
      </c>
      <c r="Q204" s="11">
        <f>N204*4</f>
        <v>25.6</v>
      </c>
      <c r="R204" s="12">
        <f>4/3*3.14*(Q204/2)*(Q204/2)*(P204/2)</f>
        <v>9740.3972266666678</v>
      </c>
      <c r="S204" s="12">
        <f>R204/1000</f>
        <v>9.7403972266666674</v>
      </c>
    </row>
    <row r="205" spans="1:19" x14ac:dyDescent="0.25">
      <c r="A205" s="7">
        <v>204</v>
      </c>
      <c r="B205" s="8" t="s">
        <v>113</v>
      </c>
      <c r="C205" s="8" t="s">
        <v>347</v>
      </c>
      <c r="D205" s="7" t="s">
        <v>707</v>
      </c>
      <c r="E205" s="8" t="s">
        <v>744</v>
      </c>
      <c r="F205" s="9">
        <v>5</v>
      </c>
      <c r="G205" s="10" t="s">
        <v>33</v>
      </c>
      <c r="H205" s="8" t="s">
        <v>100</v>
      </c>
      <c r="I205" s="8" t="s">
        <v>21</v>
      </c>
      <c r="J205" s="8" t="s">
        <v>22</v>
      </c>
      <c r="K205" s="8"/>
      <c r="L205" s="11">
        <v>7.8</v>
      </c>
      <c r="M205" s="11">
        <v>9.6</v>
      </c>
      <c r="N205" s="11">
        <v>9.8000000000000007</v>
      </c>
      <c r="O205" s="11">
        <f>L205*4</f>
        <v>31.2</v>
      </c>
      <c r="P205" s="11">
        <f>M205*4</f>
        <v>38.4</v>
      </c>
      <c r="Q205" s="11">
        <f>N205*4</f>
        <v>39.200000000000003</v>
      </c>
      <c r="R205" s="12">
        <f>(4/3)*3.14*(Q205/2)^3</f>
        <v>31523.657386666673</v>
      </c>
      <c r="S205" s="12">
        <f>R205/1000</f>
        <v>31.523657386666674</v>
      </c>
    </row>
    <row r="206" spans="1:19" x14ac:dyDescent="0.25">
      <c r="A206" s="7">
        <v>205</v>
      </c>
      <c r="B206" s="8" t="s">
        <v>113</v>
      </c>
      <c r="C206" s="8" t="s">
        <v>348</v>
      </c>
      <c r="D206" s="7" t="s">
        <v>711</v>
      </c>
      <c r="E206" s="8" t="s">
        <v>744</v>
      </c>
      <c r="F206" s="9">
        <v>5</v>
      </c>
      <c r="G206" s="10" t="s">
        <v>33</v>
      </c>
      <c r="H206" s="8" t="s">
        <v>349</v>
      </c>
      <c r="I206" s="8" t="s">
        <v>155</v>
      </c>
      <c r="J206" s="8" t="s">
        <v>22</v>
      </c>
      <c r="K206" s="8"/>
      <c r="L206" s="11">
        <v>5</v>
      </c>
      <c r="M206" s="11">
        <v>8.9</v>
      </c>
      <c r="N206" s="11">
        <v>8.1</v>
      </c>
      <c r="O206" s="11">
        <f>L206*4</f>
        <v>20</v>
      </c>
      <c r="P206" s="11">
        <f>M206*4</f>
        <v>35.6</v>
      </c>
      <c r="Q206" s="11">
        <f>N206*4</f>
        <v>32.4</v>
      </c>
      <c r="R206" s="12">
        <f>(4/3)*3.14*(Q206/2)^3</f>
        <v>17799.730559999996</v>
      </c>
      <c r="S206" s="12">
        <f>R206/1000</f>
        <v>17.799730559999997</v>
      </c>
    </row>
    <row r="207" spans="1:19" x14ac:dyDescent="0.25">
      <c r="A207" s="7">
        <v>206</v>
      </c>
      <c r="B207" s="8" t="s">
        <v>113</v>
      </c>
      <c r="C207" s="8" t="s">
        <v>350</v>
      </c>
      <c r="D207" s="7" t="s">
        <v>711</v>
      </c>
      <c r="E207" s="8" t="s">
        <v>744</v>
      </c>
      <c r="F207" s="9">
        <v>5</v>
      </c>
      <c r="G207" s="10" t="s">
        <v>33</v>
      </c>
      <c r="H207" s="8" t="s">
        <v>349</v>
      </c>
      <c r="I207" s="8" t="s">
        <v>155</v>
      </c>
      <c r="J207" s="8" t="s">
        <v>22</v>
      </c>
      <c r="K207" s="8"/>
      <c r="L207" s="11">
        <v>6.1</v>
      </c>
      <c r="M207" s="11">
        <v>10.4</v>
      </c>
      <c r="N207" s="11">
        <v>9.6999999999999993</v>
      </c>
      <c r="O207" s="11">
        <f>L207*4</f>
        <v>24.4</v>
      </c>
      <c r="P207" s="11">
        <f>M207*4</f>
        <v>41.6</v>
      </c>
      <c r="Q207" s="11">
        <f>N207*4</f>
        <v>38.799999999999997</v>
      </c>
      <c r="R207" s="12">
        <f>(4/3)*3.14*(Q207/2)^3</f>
        <v>30568.461013333326</v>
      </c>
      <c r="S207" s="12">
        <f>R207/1000</f>
        <v>30.568461013333327</v>
      </c>
    </row>
    <row r="208" spans="1:19" x14ac:dyDescent="0.25">
      <c r="A208" s="7">
        <v>207</v>
      </c>
      <c r="B208" s="8" t="s">
        <v>113</v>
      </c>
      <c r="C208" s="8" t="s">
        <v>598</v>
      </c>
      <c r="D208" s="7" t="s">
        <v>707</v>
      </c>
      <c r="E208" s="8" t="s">
        <v>744</v>
      </c>
      <c r="F208" s="9">
        <v>9</v>
      </c>
      <c r="G208" s="10" t="s">
        <v>33</v>
      </c>
      <c r="H208" s="8" t="s">
        <v>349</v>
      </c>
      <c r="I208" s="8" t="s">
        <v>155</v>
      </c>
      <c r="J208" s="8" t="s">
        <v>22</v>
      </c>
      <c r="K208" s="8"/>
      <c r="L208" s="11">
        <v>6.4</v>
      </c>
      <c r="M208" s="11">
        <v>7.1</v>
      </c>
      <c r="N208" s="11">
        <v>6.9</v>
      </c>
      <c r="O208" s="11">
        <f>L208*4</f>
        <v>25.6</v>
      </c>
      <c r="P208" s="11">
        <f>M208*4</f>
        <v>28.4</v>
      </c>
      <c r="Q208" s="11">
        <f>N208*4</f>
        <v>27.6</v>
      </c>
      <c r="R208" s="12">
        <f>4/3*3.14*(Q208/2)*(Q208/2)*(P208/2)</f>
        <v>11321.784960000001</v>
      </c>
      <c r="S208" s="12">
        <f>R208/1000</f>
        <v>11.32178496</v>
      </c>
    </row>
    <row r="209" spans="1:19" x14ac:dyDescent="0.25">
      <c r="A209" s="7">
        <v>208</v>
      </c>
      <c r="B209" s="8" t="s">
        <v>113</v>
      </c>
      <c r="C209" s="8" t="s">
        <v>351</v>
      </c>
      <c r="D209" s="7" t="s">
        <v>710</v>
      </c>
      <c r="E209" s="8" t="s">
        <v>744</v>
      </c>
      <c r="F209" s="9">
        <v>5</v>
      </c>
      <c r="G209" s="10" t="s">
        <v>33</v>
      </c>
      <c r="H209" s="8" t="s">
        <v>352</v>
      </c>
      <c r="I209" s="8" t="s">
        <v>155</v>
      </c>
      <c r="J209" s="8" t="s">
        <v>22</v>
      </c>
      <c r="K209" s="8"/>
      <c r="L209" s="11">
        <v>7.6</v>
      </c>
      <c r="M209" s="11">
        <v>8.3000000000000007</v>
      </c>
      <c r="N209" s="11">
        <v>8.6</v>
      </c>
      <c r="O209" s="11">
        <f>L209*4</f>
        <v>30.4</v>
      </c>
      <c r="P209" s="11">
        <f>M209*4</f>
        <v>33.200000000000003</v>
      </c>
      <c r="Q209" s="11">
        <f>N209*4</f>
        <v>34.4</v>
      </c>
      <c r="R209" s="12">
        <f>(4/3)*3.14*(Q209/2)^3</f>
        <v>21303.635626666663</v>
      </c>
      <c r="S209" s="12">
        <f>R209/1000</f>
        <v>21.303635626666662</v>
      </c>
    </row>
    <row r="210" spans="1:19" x14ac:dyDescent="0.25">
      <c r="A210" s="7">
        <v>209</v>
      </c>
      <c r="B210" s="8" t="s">
        <v>113</v>
      </c>
      <c r="C210" s="8" t="s">
        <v>353</v>
      </c>
      <c r="D210" s="7" t="s">
        <v>708</v>
      </c>
      <c r="E210" s="8" t="s">
        <v>744</v>
      </c>
      <c r="F210" s="9">
        <v>5</v>
      </c>
      <c r="G210" s="10" t="s">
        <v>37</v>
      </c>
      <c r="H210" s="8" t="s">
        <v>349</v>
      </c>
      <c r="I210" s="8" t="s">
        <v>155</v>
      </c>
      <c r="J210" s="8" t="s">
        <v>22</v>
      </c>
      <c r="K210" s="8"/>
      <c r="L210" s="11">
        <v>8.4</v>
      </c>
      <c r="M210" s="11">
        <v>11.5</v>
      </c>
      <c r="N210" s="11">
        <v>11.1</v>
      </c>
      <c r="O210" s="11">
        <f>L210*4</f>
        <v>33.6</v>
      </c>
      <c r="P210" s="11">
        <f>M210*4</f>
        <v>46</v>
      </c>
      <c r="Q210" s="11">
        <f>N210*4</f>
        <v>44.4</v>
      </c>
      <c r="R210" s="12">
        <f>(4/3)*3.14*(Q210/2)^3</f>
        <v>45806.520959999994</v>
      </c>
      <c r="S210" s="12">
        <f>R210/1000</f>
        <v>45.806520959999993</v>
      </c>
    </row>
    <row r="211" spans="1:19" x14ac:dyDescent="0.25">
      <c r="A211" s="7">
        <v>210</v>
      </c>
      <c r="B211" s="8" t="s">
        <v>113</v>
      </c>
      <c r="C211" s="8" t="s">
        <v>354</v>
      </c>
      <c r="D211" s="7" t="s">
        <v>710</v>
      </c>
      <c r="E211" s="8" t="s">
        <v>744</v>
      </c>
      <c r="F211" s="9">
        <v>5</v>
      </c>
      <c r="G211" s="10" t="s">
        <v>33</v>
      </c>
      <c r="H211" s="8" t="s">
        <v>349</v>
      </c>
      <c r="I211" s="8" t="s">
        <v>155</v>
      </c>
      <c r="J211" s="8" t="s">
        <v>22</v>
      </c>
      <c r="K211" s="8"/>
      <c r="L211" s="11">
        <v>8.1</v>
      </c>
      <c r="M211" s="11">
        <v>11.1</v>
      </c>
      <c r="N211" s="11">
        <v>10</v>
      </c>
      <c r="O211" s="11">
        <f>L211*4</f>
        <v>32.4</v>
      </c>
      <c r="P211" s="11">
        <f>M211*4</f>
        <v>44.4</v>
      </c>
      <c r="Q211" s="11">
        <f>N211*4</f>
        <v>40</v>
      </c>
      <c r="R211" s="12">
        <f>(4/3)*3.14*(Q211/2)^3</f>
        <v>33493.333333333336</v>
      </c>
      <c r="S211" s="12">
        <f>R211/1000</f>
        <v>33.493333333333332</v>
      </c>
    </row>
    <row r="212" spans="1:19" x14ac:dyDescent="0.25">
      <c r="A212" s="7">
        <v>211</v>
      </c>
      <c r="B212" s="8" t="s">
        <v>113</v>
      </c>
      <c r="C212" s="8" t="s">
        <v>599</v>
      </c>
      <c r="D212" s="7" t="s">
        <v>707</v>
      </c>
      <c r="E212" s="8" t="s">
        <v>744</v>
      </c>
      <c r="F212" s="9">
        <v>9</v>
      </c>
      <c r="G212" s="10" t="s">
        <v>37</v>
      </c>
      <c r="H212" s="8" t="s">
        <v>45</v>
      </c>
      <c r="I212" s="8" t="s">
        <v>21</v>
      </c>
      <c r="J212" s="8" t="s">
        <v>22</v>
      </c>
      <c r="K212" s="8"/>
      <c r="L212" s="11">
        <v>9.5</v>
      </c>
      <c r="M212" s="11">
        <v>13.7</v>
      </c>
      <c r="N212" s="11">
        <v>11.1</v>
      </c>
      <c r="O212" s="11">
        <f>L212*4</f>
        <v>38</v>
      </c>
      <c r="P212" s="11">
        <f>M212*4</f>
        <v>54.8</v>
      </c>
      <c r="Q212" s="11">
        <f>N212*4</f>
        <v>44.4</v>
      </c>
      <c r="R212" s="12">
        <f>4/3*3.14*(Q212/2)*(Q212/2)*(P212/2)</f>
        <v>56535.976319999987</v>
      </c>
      <c r="S212" s="12">
        <f>R212/1000</f>
        <v>56.535976319999989</v>
      </c>
    </row>
    <row r="213" spans="1:19" x14ac:dyDescent="0.25">
      <c r="A213" s="7">
        <v>212</v>
      </c>
      <c r="B213" s="8" t="s">
        <v>113</v>
      </c>
      <c r="C213" s="8" t="s">
        <v>355</v>
      </c>
      <c r="D213" s="7" t="s">
        <v>707</v>
      </c>
      <c r="E213" s="8" t="s">
        <v>744</v>
      </c>
      <c r="F213" s="9">
        <v>5</v>
      </c>
      <c r="G213" s="10" t="s">
        <v>25</v>
      </c>
      <c r="H213" s="8" t="s">
        <v>154</v>
      </c>
      <c r="I213" s="8" t="s">
        <v>155</v>
      </c>
      <c r="J213" s="8" t="s">
        <v>22</v>
      </c>
      <c r="K213" s="8"/>
      <c r="L213" s="11">
        <v>2.2999999999999998</v>
      </c>
      <c r="M213" s="11">
        <v>3.4</v>
      </c>
      <c r="N213" s="11">
        <v>3.2</v>
      </c>
      <c r="O213" s="11">
        <f>L213*4</f>
        <v>9.1999999999999993</v>
      </c>
      <c r="P213" s="11">
        <f>M213*4</f>
        <v>13.6</v>
      </c>
      <c r="Q213" s="11">
        <f>N213*4</f>
        <v>12.8</v>
      </c>
      <c r="R213" s="12">
        <f>(4/3)*3.14*(Q213/2)^3</f>
        <v>1097.5095466666669</v>
      </c>
      <c r="S213" s="12">
        <f>R213/1000</f>
        <v>1.0975095466666669</v>
      </c>
    </row>
    <row r="214" spans="1:19" x14ac:dyDescent="0.25">
      <c r="A214" s="7">
        <v>213</v>
      </c>
      <c r="B214" s="8" t="s">
        <v>113</v>
      </c>
      <c r="C214" s="8" t="s">
        <v>356</v>
      </c>
      <c r="D214" s="7" t="s">
        <v>707</v>
      </c>
      <c r="E214" s="8" t="s">
        <v>744</v>
      </c>
      <c r="F214" s="9">
        <v>5</v>
      </c>
      <c r="G214" s="10" t="s">
        <v>25</v>
      </c>
      <c r="H214" s="8" t="s">
        <v>154</v>
      </c>
      <c r="I214" s="8" t="s">
        <v>155</v>
      </c>
      <c r="J214" s="8" t="s">
        <v>22</v>
      </c>
      <c r="K214" s="8"/>
      <c r="L214" s="11">
        <v>2.2999999999999998</v>
      </c>
      <c r="M214" s="11">
        <v>3.7</v>
      </c>
      <c r="N214" s="11">
        <v>3.3</v>
      </c>
      <c r="O214" s="11">
        <f>L214*4</f>
        <v>9.1999999999999993</v>
      </c>
      <c r="P214" s="11">
        <f>M214*4</f>
        <v>14.8</v>
      </c>
      <c r="Q214" s="11">
        <f>N214*4</f>
        <v>13.2</v>
      </c>
      <c r="R214" s="12">
        <f>(4/3)*3.14*(Q214/2)^3</f>
        <v>1203.6499199999998</v>
      </c>
      <c r="S214" s="12">
        <f>R214/1000</f>
        <v>1.2036499199999999</v>
      </c>
    </row>
    <row r="215" spans="1:19" x14ac:dyDescent="0.25">
      <c r="A215" s="7">
        <v>214</v>
      </c>
      <c r="B215" s="8" t="s">
        <v>113</v>
      </c>
      <c r="C215" s="8" t="s">
        <v>357</v>
      </c>
      <c r="D215" s="7" t="s">
        <v>707</v>
      </c>
      <c r="E215" s="8" t="s">
        <v>744</v>
      </c>
      <c r="F215" s="9">
        <v>5</v>
      </c>
      <c r="G215" s="10" t="s">
        <v>25</v>
      </c>
      <c r="H215" s="8" t="s">
        <v>154</v>
      </c>
      <c r="I215" s="8" t="s">
        <v>155</v>
      </c>
      <c r="J215" s="8" t="s">
        <v>22</v>
      </c>
      <c r="K215" s="8"/>
      <c r="L215" s="11">
        <v>3.4</v>
      </c>
      <c r="M215" s="11">
        <v>4.2</v>
      </c>
      <c r="N215" s="11">
        <v>4.0999999999999996</v>
      </c>
      <c r="O215" s="11">
        <f>L215*4</f>
        <v>13.6</v>
      </c>
      <c r="P215" s="11">
        <f>M215*4</f>
        <v>16.8</v>
      </c>
      <c r="Q215" s="11">
        <f>N215*4</f>
        <v>16.399999999999999</v>
      </c>
      <c r="R215" s="12">
        <f>(4/3)*3.14*(Q215/2)^3</f>
        <v>2308.3940266666664</v>
      </c>
      <c r="S215" s="12">
        <f>R215/1000</f>
        <v>2.3083940266666665</v>
      </c>
    </row>
    <row r="216" spans="1:19" x14ac:dyDescent="0.25">
      <c r="A216" s="7">
        <v>215</v>
      </c>
      <c r="B216" s="8" t="s">
        <v>113</v>
      </c>
      <c r="C216" s="8" t="s">
        <v>358</v>
      </c>
      <c r="D216" s="7" t="s">
        <v>707</v>
      </c>
      <c r="E216" s="8" t="s">
        <v>744</v>
      </c>
      <c r="F216" s="9">
        <v>5</v>
      </c>
      <c r="G216" s="10" t="s">
        <v>33</v>
      </c>
      <c r="H216" s="8" t="s">
        <v>154</v>
      </c>
      <c r="I216" s="8" t="s">
        <v>155</v>
      </c>
      <c r="J216" s="8" t="s">
        <v>22</v>
      </c>
      <c r="K216" s="8"/>
      <c r="L216" s="11">
        <v>3.1</v>
      </c>
      <c r="M216" s="11">
        <v>6.5</v>
      </c>
      <c r="N216" s="11">
        <v>5.9</v>
      </c>
      <c r="O216" s="11">
        <f>L216*4</f>
        <v>12.4</v>
      </c>
      <c r="P216" s="11">
        <f>M216*4</f>
        <v>26</v>
      </c>
      <c r="Q216" s="11">
        <f>N216*4</f>
        <v>23.6</v>
      </c>
      <c r="R216" s="12">
        <f>(4/3)*3.14*(Q216/2)^3</f>
        <v>6878.827306666667</v>
      </c>
      <c r="S216" s="12">
        <f>R216/1000</f>
        <v>6.8788273066666674</v>
      </c>
    </row>
    <row r="217" spans="1:19" x14ac:dyDescent="0.25">
      <c r="A217" s="7">
        <v>216</v>
      </c>
      <c r="B217" s="8" t="s">
        <v>113</v>
      </c>
      <c r="C217" s="8" t="s">
        <v>359</v>
      </c>
      <c r="D217" s="7" t="s">
        <v>707</v>
      </c>
      <c r="E217" s="8" t="s">
        <v>744</v>
      </c>
      <c r="F217" s="9">
        <v>5</v>
      </c>
      <c r="G217" s="10" t="s">
        <v>25</v>
      </c>
      <c r="H217" s="8" t="s">
        <v>154</v>
      </c>
      <c r="I217" s="8" t="s">
        <v>155</v>
      </c>
      <c r="J217" s="8" t="s">
        <v>22</v>
      </c>
      <c r="K217" s="8"/>
      <c r="L217" s="11">
        <v>4.0999999999999996</v>
      </c>
      <c r="M217" s="11">
        <v>6.4</v>
      </c>
      <c r="N217" s="11">
        <v>5.6</v>
      </c>
      <c r="O217" s="11">
        <f>L217*4</f>
        <v>16.399999999999999</v>
      </c>
      <c r="P217" s="11">
        <f>M217*4</f>
        <v>25.6</v>
      </c>
      <c r="Q217" s="11">
        <f>N217*4</f>
        <v>22.4</v>
      </c>
      <c r="R217" s="12">
        <f>(4/3)*3.14*(Q217/2)^3</f>
        <v>5881.9652266666653</v>
      </c>
      <c r="S217" s="12">
        <f>R217/1000</f>
        <v>5.8819652266666651</v>
      </c>
    </row>
    <row r="218" spans="1:19" x14ac:dyDescent="0.25">
      <c r="A218" s="7">
        <v>217</v>
      </c>
      <c r="B218" s="8" t="s">
        <v>113</v>
      </c>
      <c r="C218" s="8" t="s">
        <v>360</v>
      </c>
      <c r="D218" s="7" t="s">
        <v>707</v>
      </c>
      <c r="E218" s="8" t="s">
        <v>744</v>
      </c>
      <c r="F218" s="9">
        <v>5</v>
      </c>
      <c r="G218" s="10" t="s">
        <v>25</v>
      </c>
      <c r="H218" s="8" t="s">
        <v>154</v>
      </c>
      <c r="I218" s="8" t="s">
        <v>155</v>
      </c>
      <c r="J218" s="8" t="s">
        <v>22</v>
      </c>
      <c r="K218" s="8"/>
      <c r="L218" s="11">
        <v>3.2</v>
      </c>
      <c r="M218" s="11">
        <v>5.6</v>
      </c>
      <c r="N218" s="11">
        <v>5</v>
      </c>
      <c r="O218" s="11">
        <f>L218*4</f>
        <v>12.8</v>
      </c>
      <c r="P218" s="11">
        <f>M218*4</f>
        <v>22.4</v>
      </c>
      <c r="Q218" s="11">
        <f>N218*4</f>
        <v>20</v>
      </c>
      <c r="R218" s="12">
        <f>(4/3)*3.14*(Q218/2)^3</f>
        <v>4186.666666666667</v>
      </c>
      <c r="S218" s="12">
        <f>R218/1000</f>
        <v>4.1866666666666665</v>
      </c>
    </row>
    <row r="219" spans="1:19" x14ac:dyDescent="0.25">
      <c r="A219" s="7">
        <v>218</v>
      </c>
      <c r="B219" s="8" t="s">
        <v>113</v>
      </c>
      <c r="C219" s="8" t="s">
        <v>616</v>
      </c>
      <c r="D219" s="7" t="s">
        <v>707</v>
      </c>
      <c r="E219" s="8" t="s">
        <v>744</v>
      </c>
      <c r="F219" s="9">
        <v>10</v>
      </c>
      <c r="G219" s="10" t="s">
        <v>33</v>
      </c>
      <c r="H219" s="8" t="s">
        <v>86</v>
      </c>
      <c r="I219" s="8" t="s">
        <v>86</v>
      </c>
      <c r="J219" s="8" t="s">
        <v>22</v>
      </c>
      <c r="K219" s="8"/>
      <c r="L219" s="11">
        <v>3.7</v>
      </c>
      <c r="M219" s="11">
        <v>10.4</v>
      </c>
      <c r="N219" s="11">
        <v>8.8000000000000007</v>
      </c>
      <c r="O219" s="11">
        <f>L219*4</f>
        <v>14.8</v>
      </c>
      <c r="P219" s="11">
        <f>M219*4</f>
        <v>41.6</v>
      </c>
      <c r="Q219" s="11">
        <f>N219*4</f>
        <v>35.200000000000003</v>
      </c>
      <c r="R219" s="12">
        <f>4/3*3.14*(Q219/2)*(Q219/2)*(P219/2)</f>
        <v>26974.726826666672</v>
      </c>
      <c r="S219" s="12">
        <f>R219/1000</f>
        <v>26.974726826666672</v>
      </c>
    </row>
    <row r="220" spans="1:19" x14ac:dyDescent="0.25">
      <c r="A220" s="7">
        <v>219</v>
      </c>
      <c r="B220" s="8" t="s">
        <v>113</v>
      </c>
      <c r="C220" s="8" t="s">
        <v>617</v>
      </c>
      <c r="D220" s="7" t="s">
        <v>710</v>
      </c>
      <c r="E220" s="8" t="s">
        <v>744</v>
      </c>
      <c r="F220" s="9">
        <v>10</v>
      </c>
      <c r="G220" s="10" t="s">
        <v>25</v>
      </c>
      <c r="H220" s="8" t="s">
        <v>154</v>
      </c>
      <c r="I220" s="8" t="s">
        <v>155</v>
      </c>
      <c r="J220" s="8" t="s">
        <v>22</v>
      </c>
      <c r="K220" s="8"/>
      <c r="L220" s="11">
        <v>2.6</v>
      </c>
      <c r="M220" s="11">
        <v>5.7</v>
      </c>
      <c r="N220" s="11">
        <v>4.5</v>
      </c>
      <c r="O220" s="11">
        <f>L220*4</f>
        <v>10.4</v>
      </c>
      <c r="P220" s="11">
        <f>M220*4</f>
        <v>22.8</v>
      </c>
      <c r="Q220" s="11">
        <f>N220*4</f>
        <v>18</v>
      </c>
      <c r="R220" s="12">
        <f>4/3*3.14*(Q220/2)*(Q220/2)*(P220/2)</f>
        <v>3865.9680000000003</v>
      </c>
      <c r="S220" s="12">
        <f>R220/1000</f>
        <v>3.8659680000000005</v>
      </c>
    </row>
    <row r="221" spans="1:19" x14ac:dyDescent="0.25">
      <c r="A221" s="7">
        <v>220</v>
      </c>
      <c r="B221" s="8" t="s">
        <v>113</v>
      </c>
      <c r="C221" s="8" t="s">
        <v>361</v>
      </c>
      <c r="D221" s="7" t="s">
        <v>712</v>
      </c>
      <c r="E221" s="8" t="s">
        <v>744</v>
      </c>
      <c r="F221" s="9">
        <v>5</v>
      </c>
      <c r="G221" s="10" t="s">
        <v>33</v>
      </c>
      <c r="H221" s="8" t="s">
        <v>154</v>
      </c>
      <c r="I221" s="8" t="s">
        <v>155</v>
      </c>
      <c r="J221" s="8" t="s">
        <v>22</v>
      </c>
      <c r="K221" s="8"/>
      <c r="L221" s="11">
        <v>3.8</v>
      </c>
      <c r="M221" s="11">
        <v>6</v>
      </c>
      <c r="N221" s="11">
        <v>5.9</v>
      </c>
      <c r="O221" s="11">
        <f>L221*4</f>
        <v>15.2</v>
      </c>
      <c r="P221" s="11">
        <f>M221*4</f>
        <v>24</v>
      </c>
      <c r="Q221" s="11">
        <f>N221*4</f>
        <v>23.6</v>
      </c>
      <c r="R221" s="12">
        <f>(4/3)*3.14*(Q221/2)^3</f>
        <v>6878.827306666667</v>
      </c>
      <c r="S221" s="12">
        <f>R221/1000</f>
        <v>6.8788273066666674</v>
      </c>
    </row>
    <row r="222" spans="1:19" x14ac:dyDescent="0.25">
      <c r="A222" s="7">
        <v>221</v>
      </c>
      <c r="B222" s="8" t="s">
        <v>113</v>
      </c>
      <c r="C222" s="8" t="s">
        <v>362</v>
      </c>
      <c r="D222" s="7" t="s">
        <v>710</v>
      </c>
      <c r="E222" s="8" t="s">
        <v>744</v>
      </c>
      <c r="F222" s="9">
        <v>5</v>
      </c>
      <c r="G222" s="10" t="s">
        <v>33</v>
      </c>
      <c r="H222" s="8" t="s">
        <v>313</v>
      </c>
      <c r="I222" s="8" t="s">
        <v>313</v>
      </c>
      <c r="J222" s="8" t="s">
        <v>22</v>
      </c>
      <c r="K222" s="8"/>
      <c r="L222" s="11">
        <v>4.5999999999999996</v>
      </c>
      <c r="M222" s="11">
        <v>11.1</v>
      </c>
      <c r="N222" s="11">
        <v>9.3000000000000007</v>
      </c>
      <c r="O222" s="11">
        <f>L222*4</f>
        <v>18.399999999999999</v>
      </c>
      <c r="P222" s="11">
        <f>M222*4</f>
        <v>44.4</v>
      </c>
      <c r="Q222" s="11">
        <f>N222*4</f>
        <v>37.200000000000003</v>
      </c>
      <c r="R222" s="12">
        <f>(4/3)*3.14*(Q222/2)^3</f>
        <v>26940.597120000006</v>
      </c>
      <c r="S222" s="12">
        <f>R222/1000</f>
        <v>26.940597120000007</v>
      </c>
    </row>
    <row r="223" spans="1:19" x14ac:dyDescent="0.25">
      <c r="A223" s="7">
        <v>222</v>
      </c>
      <c r="B223" s="8" t="s">
        <v>113</v>
      </c>
      <c r="C223" s="8" t="s">
        <v>363</v>
      </c>
      <c r="D223" s="7" t="s">
        <v>710</v>
      </c>
      <c r="E223" s="8" t="s">
        <v>744</v>
      </c>
      <c r="F223" s="9">
        <v>5</v>
      </c>
      <c r="G223" s="10" t="s">
        <v>25</v>
      </c>
      <c r="H223" s="8" t="s">
        <v>154</v>
      </c>
      <c r="I223" s="8" t="s">
        <v>155</v>
      </c>
      <c r="J223" s="8" t="s">
        <v>134</v>
      </c>
      <c r="K223" s="8"/>
      <c r="L223" s="11">
        <v>2.9</v>
      </c>
      <c r="M223" s="11">
        <v>4.0999999999999996</v>
      </c>
      <c r="N223" s="11">
        <v>3.7</v>
      </c>
      <c r="O223" s="11">
        <f>L223*4</f>
        <v>11.6</v>
      </c>
      <c r="P223" s="11">
        <f>M223*4</f>
        <v>16.399999999999999</v>
      </c>
      <c r="Q223" s="11">
        <f>N223*4</f>
        <v>14.8</v>
      </c>
      <c r="R223" s="12">
        <f>(4/3)*3.14*(Q223/2)^3</f>
        <v>1696.5378133333336</v>
      </c>
      <c r="S223" s="12">
        <f>R223/1000</f>
        <v>1.6965378133333335</v>
      </c>
    </row>
    <row r="224" spans="1:19" x14ac:dyDescent="0.25">
      <c r="A224" s="7">
        <v>223</v>
      </c>
      <c r="B224" s="8" t="s">
        <v>113</v>
      </c>
      <c r="C224" s="8" t="s">
        <v>213</v>
      </c>
      <c r="D224" s="7" t="s">
        <v>708</v>
      </c>
      <c r="E224" s="8" t="s">
        <v>744</v>
      </c>
      <c r="F224" s="9">
        <v>4</v>
      </c>
      <c r="G224" s="10" t="s">
        <v>33</v>
      </c>
      <c r="H224" s="8" t="s">
        <v>26</v>
      </c>
      <c r="I224" s="8" t="s">
        <v>27</v>
      </c>
      <c r="J224" s="8" t="s">
        <v>22</v>
      </c>
      <c r="K224" s="8"/>
      <c r="L224" s="11">
        <v>10</v>
      </c>
      <c r="M224" s="11">
        <v>10</v>
      </c>
      <c r="N224" s="11">
        <v>11.2</v>
      </c>
      <c r="O224" s="11">
        <f>L224*4</f>
        <v>40</v>
      </c>
      <c r="P224" s="11">
        <f>M224*4</f>
        <v>40</v>
      </c>
      <c r="Q224" s="11">
        <f>N224*4</f>
        <v>44.8</v>
      </c>
      <c r="R224" s="12">
        <f>2/3*3.14*(Q224/2)^3</f>
        <v>23527.860906666661</v>
      </c>
      <c r="S224" s="12">
        <f>R224/1000</f>
        <v>23.52786090666666</v>
      </c>
    </row>
    <row r="225" spans="1:19" x14ac:dyDescent="0.25">
      <c r="A225" s="7">
        <v>224</v>
      </c>
      <c r="B225" s="8" t="s">
        <v>43</v>
      </c>
      <c r="C225" s="8" t="s">
        <v>364</v>
      </c>
      <c r="D225" s="7" t="s">
        <v>713</v>
      </c>
      <c r="E225" s="8" t="s">
        <v>743</v>
      </c>
      <c r="F225" s="9">
        <v>5</v>
      </c>
      <c r="G225" s="10" t="s">
        <v>25</v>
      </c>
      <c r="H225" s="8" t="s">
        <v>20</v>
      </c>
      <c r="I225" s="8" t="s">
        <v>21</v>
      </c>
      <c r="J225" s="8"/>
      <c r="K225" s="8"/>
      <c r="L225" s="11">
        <v>4</v>
      </c>
      <c r="M225" s="11">
        <v>3.5</v>
      </c>
      <c r="N225" s="11">
        <v>4.8</v>
      </c>
      <c r="O225" s="11">
        <f>L225*4</f>
        <v>16</v>
      </c>
      <c r="P225" s="11">
        <f>M225*4</f>
        <v>14</v>
      </c>
      <c r="Q225" s="11">
        <f>N225*4</f>
        <v>19.2</v>
      </c>
      <c r="R225" s="12">
        <f>(4/3)*3.14*(Q225/2)^3</f>
        <v>3704.0947200000001</v>
      </c>
      <c r="S225" s="12">
        <f>R225/1000</f>
        <v>3.7040947200000001</v>
      </c>
    </row>
    <row r="226" spans="1:19" x14ac:dyDescent="0.25">
      <c r="A226" s="7">
        <v>225</v>
      </c>
      <c r="B226" s="8" t="s">
        <v>43</v>
      </c>
      <c r="C226" s="8" t="s">
        <v>365</v>
      </c>
      <c r="D226" s="7" t="s">
        <v>713</v>
      </c>
      <c r="E226" s="8" t="s">
        <v>743</v>
      </c>
      <c r="F226" s="9">
        <v>5</v>
      </c>
      <c r="G226" s="10" t="s">
        <v>33</v>
      </c>
      <c r="H226" s="8" t="s">
        <v>100</v>
      </c>
      <c r="I226" s="8" t="s">
        <v>21</v>
      </c>
      <c r="J226" s="8"/>
      <c r="K226" s="8"/>
      <c r="L226" s="11">
        <v>6.3</v>
      </c>
      <c r="M226" s="11">
        <v>4.4000000000000004</v>
      </c>
      <c r="N226" s="11">
        <v>6.9</v>
      </c>
      <c r="O226" s="11">
        <f>L226*4</f>
        <v>25.2</v>
      </c>
      <c r="P226" s="11">
        <f>M226*4</f>
        <v>17.600000000000001</v>
      </c>
      <c r="Q226" s="11">
        <f>N226*4</f>
        <v>27.6</v>
      </c>
      <c r="R226" s="12">
        <f>(4/3)*3.14*(Q226/2)^3</f>
        <v>11002.861440000002</v>
      </c>
      <c r="S226" s="12">
        <f>R226/1000</f>
        <v>11.002861440000002</v>
      </c>
    </row>
    <row r="227" spans="1:19" x14ac:dyDescent="0.25">
      <c r="A227" s="7">
        <v>226</v>
      </c>
      <c r="B227" s="8" t="s">
        <v>43</v>
      </c>
      <c r="C227" s="8" t="s">
        <v>366</v>
      </c>
      <c r="D227" s="7" t="s">
        <v>713</v>
      </c>
      <c r="E227" s="8" t="s">
        <v>743</v>
      </c>
      <c r="F227" s="9">
        <v>5</v>
      </c>
      <c r="G227" s="10" t="s">
        <v>33</v>
      </c>
      <c r="H227" s="8" t="s">
        <v>20</v>
      </c>
      <c r="I227" s="8" t="s">
        <v>21</v>
      </c>
      <c r="J227" s="8"/>
      <c r="K227" s="8"/>
      <c r="L227" s="11">
        <v>5</v>
      </c>
      <c r="M227" s="11">
        <v>3.5</v>
      </c>
      <c r="N227" s="11">
        <v>5.7</v>
      </c>
      <c r="O227" s="11">
        <f>L227*4</f>
        <v>20</v>
      </c>
      <c r="P227" s="11">
        <f>M227*4</f>
        <v>14</v>
      </c>
      <c r="Q227" s="11">
        <f>N227*4</f>
        <v>22.8</v>
      </c>
      <c r="R227" s="12">
        <f>(4/3)*3.14*(Q227/2)^3</f>
        <v>6202.7308800000001</v>
      </c>
      <c r="S227" s="12">
        <f>R227/1000</f>
        <v>6.2027308799999998</v>
      </c>
    </row>
    <row r="228" spans="1:19" x14ac:dyDescent="0.25">
      <c r="A228" s="7">
        <v>227</v>
      </c>
      <c r="B228" s="8" t="s">
        <v>43</v>
      </c>
      <c r="C228" s="8" t="s">
        <v>367</v>
      </c>
      <c r="D228" s="7" t="s">
        <v>713</v>
      </c>
      <c r="E228" s="8" t="s">
        <v>743</v>
      </c>
      <c r="F228" s="9">
        <v>5</v>
      </c>
      <c r="G228" s="10" t="s">
        <v>33</v>
      </c>
      <c r="H228" s="8" t="s">
        <v>20</v>
      </c>
      <c r="I228" s="8" t="s">
        <v>21</v>
      </c>
      <c r="J228" s="8"/>
      <c r="K228" s="8"/>
      <c r="L228" s="11">
        <v>8</v>
      </c>
      <c r="M228" s="11">
        <v>6.4</v>
      </c>
      <c r="N228" s="11">
        <v>9.4</v>
      </c>
      <c r="O228" s="11">
        <f>L228*4</f>
        <v>32</v>
      </c>
      <c r="P228" s="11">
        <f>M228*4</f>
        <v>25.6</v>
      </c>
      <c r="Q228" s="11">
        <f>N228*4</f>
        <v>37.6</v>
      </c>
      <c r="R228" s="12">
        <f>(4/3)*3.14*(Q228/2)^3</f>
        <v>27819.026773333338</v>
      </c>
      <c r="S228" s="12">
        <f>R228/1000</f>
        <v>27.819026773333338</v>
      </c>
    </row>
    <row r="229" spans="1:19" x14ac:dyDescent="0.25">
      <c r="A229" s="7">
        <v>228</v>
      </c>
      <c r="B229" s="8" t="s">
        <v>43</v>
      </c>
      <c r="C229" s="8" t="s">
        <v>368</v>
      </c>
      <c r="D229" s="7" t="s">
        <v>713</v>
      </c>
      <c r="E229" s="8" t="s">
        <v>743</v>
      </c>
      <c r="F229" s="9">
        <v>5</v>
      </c>
      <c r="G229" s="10" t="s">
        <v>33</v>
      </c>
      <c r="H229" s="8" t="s">
        <v>20</v>
      </c>
      <c r="I229" s="8" t="s">
        <v>21</v>
      </c>
      <c r="J229" s="8"/>
      <c r="K229" s="8"/>
      <c r="L229" s="11">
        <v>5</v>
      </c>
      <c r="M229" s="11">
        <v>4.8</v>
      </c>
      <c r="N229" s="11">
        <v>6.5</v>
      </c>
      <c r="O229" s="11">
        <f>L229*4</f>
        <v>20</v>
      </c>
      <c r="P229" s="11">
        <f>M229*4</f>
        <v>19.2</v>
      </c>
      <c r="Q229" s="11">
        <f>N229*4</f>
        <v>26</v>
      </c>
      <c r="R229" s="12">
        <f>(4/3)*3.14*(Q229/2)^3</f>
        <v>9198.1066666666666</v>
      </c>
      <c r="S229" s="12">
        <f>R229/1000</f>
        <v>9.198106666666666</v>
      </c>
    </row>
    <row r="230" spans="1:19" x14ac:dyDescent="0.25">
      <c r="A230" s="7">
        <v>229</v>
      </c>
      <c r="B230" s="8" t="s">
        <v>43</v>
      </c>
      <c r="C230" s="8" t="s">
        <v>369</v>
      </c>
      <c r="D230" s="7" t="s">
        <v>713</v>
      </c>
      <c r="E230" s="8" t="s">
        <v>743</v>
      </c>
      <c r="F230" s="9">
        <v>5</v>
      </c>
      <c r="G230" s="10" t="s">
        <v>25</v>
      </c>
      <c r="H230" s="8" t="s">
        <v>20</v>
      </c>
      <c r="I230" s="8" t="s">
        <v>21</v>
      </c>
      <c r="J230" s="8"/>
      <c r="K230" s="8"/>
      <c r="L230" s="11">
        <v>4.2</v>
      </c>
      <c r="M230" s="11">
        <v>3.9</v>
      </c>
      <c r="N230" s="11">
        <v>5.3</v>
      </c>
      <c r="O230" s="11">
        <f>L230*4</f>
        <v>16.8</v>
      </c>
      <c r="P230" s="11">
        <f>M230*4</f>
        <v>15.6</v>
      </c>
      <c r="Q230" s="11">
        <f>N230*4</f>
        <v>21.2</v>
      </c>
      <c r="R230" s="12">
        <f>(4/3)*3.14*(Q230/2)^3</f>
        <v>4986.3869866666655</v>
      </c>
      <c r="S230" s="12">
        <f>R230/1000</f>
        <v>4.9863869866666652</v>
      </c>
    </row>
    <row r="231" spans="1:19" x14ac:dyDescent="0.25">
      <c r="A231" s="7">
        <v>230</v>
      </c>
      <c r="B231" s="8" t="s">
        <v>43</v>
      </c>
      <c r="C231" s="8" t="s">
        <v>370</v>
      </c>
      <c r="D231" s="7" t="s">
        <v>713</v>
      </c>
      <c r="E231" s="8" t="s">
        <v>743</v>
      </c>
      <c r="F231" s="9">
        <v>5</v>
      </c>
      <c r="G231" s="10" t="s">
        <v>33</v>
      </c>
      <c r="H231" s="8" t="s">
        <v>20</v>
      </c>
      <c r="I231" s="8" t="s">
        <v>21</v>
      </c>
      <c r="J231" s="8"/>
      <c r="K231" s="8"/>
      <c r="L231" s="11">
        <v>5</v>
      </c>
      <c r="M231" s="11">
        <v>5.4</v>
      </c>
      <c r="N231" s="11">
        <v>7.4</v>
      </c>
      <c r="O231" s="11">
        <f>L231*4</f>
        <v>20</v>
      </c>
      <c r="P231" s="11">
        <f>M231*4</f>
        <v>21.6</v>
      </c>
      <c r="Q231" s="11">
        <f>N231*4</f>
        <v>29.6</v>
      </c>
      <c r="R231" s="12">
        <f>(4/3)*3.14*(Q231/2)^3</f>
        <v>13572.302506666669</v>
      </c>
      <c r="S231" s="12">
        <f>R231/1000</f>
        <v>13.572302506666668</v>
      </c>
    </row>
    <row r="232" spans="1:19" x14ac:dyDescent="0.25">
      <c r="A232" s="7">
        <v>231</v>
      </c>
      <c r="B232" s="8" t="s">
        <v>43</v>
      </c>
      <c r="C232" s="8" t="s">
        <v>519</v>
      </c>
      <c r="D232" s="7" t="s">
        <v>713</v>
      </c>
      <c r="E232" s="8" t="s">
        <v>743</v>
      </c>
      <c r="F232" s="9">
        <v>6</v>
      </c>
      <c r="G232" s="10" t="s">
        <v>33</v>
      </c>
      <c r="H232" s="8" t="s">
        <v>20</v>
      </c>
      <c r="I232" s="8" t="s">
        <v>21</v>
      </c>
      <c r="J232" s="8"/>
      <c r="K232" s="8"/>
      <c r="L232" s="11">
        <v>3.8</v>
      </c>
      <c r="M232" s="11">
        <v>6.1</v>
      </c>
      <c r="N232" s="11">
        <v>6.7</v>
      </c>
      <c r="O232" s="11">
        <f>L232*4</f>
        <v>15.2</v>
      </c>
      <c r="P232" s="11">
        <f>M232*4</f>
        <v>24.4</v>
      </c>
      <c r="Q232" s="11">
        <f>N232*4</f>
        <v>26.8</v>
      </c>
      <c r="R232" s="12">
        <f>(4/3)*3.14*(Q232/2)^3</f>
        <v>10073.555413333333</v>
      </c>
      <c r="S232" s="12">
        <f>R232/1000</f>
        <v>10.073555413333333</v>
      </c>
    </row>
    <row r="233" spans="1:19" x14ac:dyDescent="0.25">
      <c r="A233" s="7">
        <v>232</v>
      </c>
      <c r="B233" s="8" t="s">
        <v>43</v>
      </c>
      <c r="C233" s="8" t="s">
        <v>371</v>
      </c>
      <c r="D233" s="7" t="s">
        <v>713</v>
      </c>
      <c r="E233" s="8" t="s">
        <v>743</v>
      </c>
      <c r="F233" s="9">
        <v>5</v>
      </c>
      <c r="G233" s="10" t="s">
        <v>33</v>
      </c>
      <c r="H233" s="8" t="s">
        <v>100</v>
      </c>
      <c r="I233" s="8" t="s">
        <v>21</v>
      </c>
      <c r="J233" s="8"/>
      <c r="K233" s="8"/>
      <c r="L233" s="11">
        <v>5</v>
      </c>
      <c r="M233" s="11">
        <v>4.5</v>
      </c>
      <c r="N233" s="11">
        <v>5.9</v>
      </c>
      <c r="O233" s="11">
        <f>L233*4</f>
        <v>20</v>
      </c>
      <c r="P233" s="11">
        <f>M233*4</f>
        <v>18</v>
      </c>
      <c r="Q233" s="11">
        <f>N233*4</f>
        <v>23.6</v>
      </c>
      <c r="R233" s="12">
        <f>(4/3)*3.14*(Q233/2)^3</f>
        <v>6878.827306666667</v>
      </c>
      <c r="S233" s="12">
        <f>R233/1000</f>
        <v>6.8788273066666674</v>
      </c>
    </row>
    <row r="234" spans="1:19" x14ac:dyDescent="0.25">
      <c r="A234" s="7">
        <v>233</v>
      </c>
      <c r="B234" s="8" t="s">
        <v>43</v>
      </c>
      <c r="C234" s="8" t="s">
        <v>372</v>
      </c>
      <c r="D234" s="7" t="s">
        <v>713</v>
      </c>
      <c r="E234" s="8" t="s">
        <v>743</v>
      </c>
      <c r="F234" s="9">
        <v>5</v>
      </c>
      <c r="G234" s="10" t="s">
        <v>25</v>
      </c>
      <c r="H234" s="8" t="s">
        <v>20</v>
      </c>
      <c r="I234" s="8" t="s">
        <v>21</v>
      </c>
      <c r="J234" s="8"/>
      <c r="K234" s="8"/>
      <c r="L234" s="11">
        <v>4.3</v>
      </c>
      <c r="M234" s="11">
        <v>4.5</v>
      </c>
      <c r="N234" s="11">
        <v>5.6</v>
      </c>
      <c r="O234" s="11">
        <f>L234*4</f>
        <v>17.2</v>
      </c>
      <c r="P234" s="11">
        <f>M234*4</f>
        <v>18</v>
      </c>
      <c r="Q234" s="11">
        <f>N234*4</f>
        <v>22.4</v>
      </c>
      <c r="R234" s="12">
        <f>(4/3)*3.14*(Q234/2)^3</f>
        <v>5881.9652266666653</v>
      </c>
      <c r="S234" s="12">
        <f>R234/1000</f>
        <v>5.8819652266666651</v>
      </c>
    </row>
    <row r="235" spans="1:19" x14ac:dyDescent="0.25">
      <c r="A235" s="7">
        <v>234</v>
      </c>
      <c r="B235" s="8" t="s">
        <v>43</v>
      </c>
      <c r="C235" s="8" t="s">
        <v>520</v>
      </c>
      <c r="D235" s="7" t="s">
        <v>713</v>
      </c>
      <c r="E235" s="8" t="s">
        <v>743</v>
      </c>
      <c r="F235" s="9">
        <v>6</v>
      </c>
      <c r="G235" s="10" t="s">
        <v>33</v>
      </c>
      <c r="H235" s="8" t="s">
        <v>20</v>
      </c>
      <c r="I235" s="8" t="s">
        <v>21</v>
      </c>
      <c r="J235" s="8"/>
      <c r="K235" s="8"/>
      <c r="L235" s="11">
        <v>4.3</v>
      </c>
      <c r="M235" s="11">
        <v>5.8</v>
      </c>
      <c r="N235" s="11">
        <v>6.7</v>
      </c>
      <c r="O235" s="11">
        <f>L235*4</f>
        <v>17.2</v>
      </c>
      <c r="P235" s="11">
        <f>M235*4</f>
        <v>23.2</v>
      </c>
      <c r="Q235" s="11">
        <f>N235*4</f>
        <v>26.8</v>
      </c>
      <c r="R235" s="12">
        <f>(4/3)*3.14*(Q235/2)^3</f>
        <v>10073.555413333333</v>
      </c>
      <c r="S235" s="12">
        <f>R235/1000</f>
        <v>10.073555413333333</v>
      </c>
    </row>
    <row r="236" spans="1:19" x14ac:dyDescent="0.25">
      <c r="A236" s="7">
        <v>235</v>
      </c>
      <c r="B236" s="8" t="s">
        <v>43</v>
      </c>
      <c r="C236" s="8" t="s">
        <v>373</v>
      </c>
      <c r="D236" s="7" t="s">
        <v>713</v>
      </c>
      <c r="E236" s="8" t="s">
        <v>743</v>
      </c>
      <c r="F236" s="9">
        <v>5</v>
      </c>
      <c r="G236" s="10" t="s">
        <v>37</v>
      </c>
      <c r="H236" s="8" t="s">
        <v>100</v>
      </c>
      <c r="I236" s="8" t="s">
        <v>21</v>
      </c>
      <c r="J236" s="8"/>
      <c r="K236" s="8"/>
      <c r="L236" s="11">
        <v>10.1</v>
      </c>
      <c r="M236" s="11">
        <v>6.5</v>
      </c>
      <c r="N236" s="11">
        <v>10.3</v>
      </c>
      <c r="O236" s="11">
        <f>L236*4</f>
        <v>40.4</v>
      </c>
      <c r="P236" s="11">
        <f>M236*4</f>
        <v>26</v>
      </c>
      <c r="Q236" s="11">
        <f>N236*4</f>
        <v>41.2</v>
      </c>
      <c r="R236" s="12">
        <f>(4/3)*3.14*(Q236/2)^3</f>
        <v>36599.069653333339</v>
      </c>
      <c r="S236" s="12">
        <f>R236/1000</f>
        <v>36.599069653333338</v>
      </c>
    </row>
    <row r="237" spans="1:19" x14ac:dyDescent="0.25">
      <c r="A237" s="7">
        <v>236</v>
      </c>
      <c r="B237" s="8" t="s">
        <v>43</v>
      </c>
      <c r="C237" s="8" t="s">
        <v>374</v>
      </c>
      <c r="D237" s="7" t="s">
        <v>713</v>
      </c>
      <c r="E237" s="8" t="s">
        <v>743</v>
      </c>
      <c r="F237" s="9">
        <v>5</v>
      </c>
      <c r="G237" s="10" t="s">
        <v>37</v>
      </c>
      <c r="H237" s="8" t="s">
        <v>20</v>
      </c>
      <c r="I237" s="8" t="s">
        <v>21</v>
      </c>
      <c r="J237" s="8"/>
      <c r="K237" s="8"/>
      <c r="L237" s="11">
        <v>11.1</v>
      </c>
      <c r="M237" s="11">
        <v>8</v>
      </c>
      <c r="N237" s="11">
        <v>11.9</v>
      </c>
      <c r="O237" s="11">
        <f>L237*4</f>
        <v>44.4</v>
      </c>
      <c r="P237" s="11">
        <f>M237*4</f>
        <v>32</v>
      </c>
      <c r="Q237" s="11">
        <f>N237*4</f>
        <v>47.6</v>
      </c>
      <c r="R237" s="12">
        <f>(4/3)*3.14*(Q237/2)^3</f>
        <v>56441.592106666671</v>
      </c>
      <c r="S237" s="12">
        <f>R237/1000</f>
        <v>56.441592106666668</v>
      </c>
    </row>
    <row r="238" spans="1:19" x14ac:dyDescent="0.25">
      <c r="A238" s="7">
        <v>237</v>
      </c>
      <c r="B238" s="8" t="s">
        <v>43</v>
      </c>
      <c r="C238" s="8" t="s">
        <v>375</v>
      </c>
      <c r="D238" s="7" t="s">
        <v>713</v>
      </c>
      <c r="E238" s="8" t="s">
        <v>743</v>
      </c>
      <c r="F238" s="9">
        <v>5</v>
      </c>
      <c r="G238" s="10" t="s">
        <v>37</v>
      </c>
      <c r="H238" s="8" t="s">
        <v>54</v>
      </c>
      <c r="I238" s="8" t="s">
        <v>55</v>
      </c>
      <c r="J238" s="8"/>
      <c r="K238" s="8"/>
      <c r="L238" s="11">
        <v>10</v>
      </c>
      <c r="M238" s="11">
        <v>7.1</v>
      </c>
      <c r="N238" s="11">
        <v>10.7</v>
      </c>
      <c r="O238" s="11">
        <f>L238*4</f>
        <v>40</v>
      </c>
      <c r="P238" s="11">
        <f>M238*4</f>
        <v>28.4</v>
      </c>
      <c r="Q238" s="11">
        <f>N238*4</f>
        <v>42.8</v>
      </c>
      <c r="R238" s="12">
        <f>(4/3)*3.14*(Q238/2)^3</f>
        <v>41030.773546666656</v>
      </c>
      <c r="S238" s="12">
        <f>R238/1000</f>
        <v>41.030773546666659</v>
      </c>
    </row>
    <row r="239" spans="1:19" x14ac:dyDescent="0.25">
      <c r="A239" s="7">
        <v>238</v>
      </c>
      <c r="B239" s="8" t="s">
        <v>43</v>
      </c>
      <c r="C239" s="8" t="s">
        <v>376</v>
      </c>
      <c r="D239" s="7" t="s">
        <v>713</v>
      </c>
      <c r="E239" s="8" t="s">
        <v>743</v>
      </c>
      <c r="F239" s="9">
        <v>5</v>
      </c>
      <c r="G239" s="10" t="s">
        <v>33</v>
      </c>
      <c r="H239" s="8" t="s">
        <v>54</v>
      </c>
      <c r="I239" s="8" t="s">
        <v>55</v>
      </c>
      <c r="J239" s="8"/>
      <c r="K239" s="8"/>
      <c r="L239" s="11">
        <v>7</v>
      </c>
      <c r="M239" s="11">
        <v>6.5</v>
      </c>
      <c r="N239" s="11">
        <v>8.4</v>
      </c>
      <c r="O239" s="11">
        <f>L239*4</f>
        <v>28</v>
      </c>
      <c r="P239" s="11">
        <f>M239*4</f>
        <v>26</v>
      </c>
      <c r="Q239" s="11">
        <f>N239*4</f>
        <v>33.6</v>
      </c>
      <c r="R239" s="12">
        <f>(4/3)*3.14*(Q239/2)^3</f>
        <v>19851.63264</v>
      </c>
      <c r="S239" s="12">
        <f>R239/1000</f>
        <v>19.851632639999998</v>
      </c>
    </row>
    <row r="240" spans="1:19" x14ac:dyDescent="0.25">
      <c r="A240" s="7">
        <v>239</v>
      </c>
      <c r="B240" s="8" t="s">
        <v>43</v>
      </c>
      <c r="C240" s="8" t="s">
        <v>377</v>
      </c>
      <c r="D240" s="7" t="s">
        <v>713</v>
      </c>
      <c r="E240" s="8" t="s">
        <v>743</v>
      </c>
      <c r="F240" s="9">
        <v>5</v>
      </c>
      <c r="G240" s="10" t="s">
        <v>37</v>
      </c>
      <c r="H240" s="8" t="s">
        <v>20</v>
      </c>
      <c r="I240" s="8" t="s">
        <v>21</v>
      </c>
      <c r="J240" s="8"/>
      <c r="K240" s="8"/>
      <c r="L240" s="11">
        <v>10</v>
      </c>
      <c r="M240" s="11">
        <v>8.5</v>
      </c>
      <c r="N240" s="11">
        <v>11.5</v>
      </c>
      <c r="O240" s="11">
        <f>L240*4</f>
        <v>40</v>
      </c>
      <c r="P240" s="11">
        <f>M240*4</f>
        <v>34</v>
      </c>
      <c r="Q240" s="11">
        <f>N240*4</f>
        <v>46</v>
      </c>
      <c r="R240" s="12">
        <f>(4/3)*3.14*(Q240/2)^3</f>
        <v>50939.173333333332</v>
      </c>
      <c r="S240" s="12">
        <f>R240/1000</f>
        <v>50.939173333333329</v>
      </c>
    </row>
    <row r="241" spans="1:19" x14ac:dyDescent="0.25">
      <c r="A241" s="7">
        <v>240</v>
      </c>
      <c r="B241" s="8" t="s">
        <v>43</v>
      </c>
      <c r="C241" s="8" t="s">
        <v>378</v>
      </c>
      <c r="D241" s="7" t="s">
        <v>713</v>
      </c>
      <c r="E241" s="8" t="s">
        <v>743</v>
      </c>
      <c r="F241" s="9">
        <v>5</v>
      </c>
      <c r="G241" s="10" t="s">
        <v>37</v>
      </c>
      <c r="H241" s="8" t="s">
        <v>20</v>
      </c>
      <c r="I241" s="8" t="s">
        <v>21</v>
      </c>
      <c r="J241" s="8"/>
      <c r="K241" s="8"/>
      <c r="L241" s="11">
        <v>10</v>
      </c>
      <c r="M241" s="11">
        <v>8.6999999999999993</v>
      </c>
      <c r="N241" s="11">
        <v>11.6</v>
      </c>
      <c r="O241" s="11">
        <f>L241*4</f>
        <v>40</v>
      </c>
      <c r="P241" s="11">
        <f>M241*4</f>
        <v>34.799999999999997</v>
      </c>
      <c r="Q241" s="11">
        <f>N241*4</f>
        <v>46.4</v>
      </c>
      <c r="R241" s="12">
        <f>(4/3)*3.14*(Q241/2)^3</f>
        <v>52279.610026666662</v>
      </c>
      <c r="S241" s="12">
        <f>R241/1000</f>
        <v>52.27961002666666</v>
      </c>
    </row>
    <row r="242" spans="1:19" x14ac:dyDescent="0.25">
      <c r="A242" s="7">
        <v>241</v>
      </c>
      <c r="B242" s="8" t="s">
        <v>43</v>
      </c>
      <c r="C242" s="8" t="s">
        <v>379</v>
      </c>
      <c r="D242" s="7" t="s">
        <v>713</v>
      </c>
      <c r="E242" s="8" t="s">
        <v>743</v>
      </c>
      <c r="F242" s="9">
        <v>5</v>
      </c>
      <c r="G242" s="10" t="s">
        <v>37</v>
      </c>
      <c r="H242" s="8" t="s">
        <v>54</v>
      </c>
      <c r="I242" s="8" t="s">
        <v>55</v>
      </c>
      <c r="J242" s="8"/>
      <c r="K242" s="8"/>
      <c r="L242" s="11">
        <v>10</v>
      </c>
      <c r="M242" s="11">
        <v>11.3</v>
      </c>
      <c r="N242" s="11">
        <v>13.5</v>
      </c>
      <c r="O242" s="11">
        <f>L242*4</f>
        <v>40</v>
      </c>
      <c r="P242" s="11">
        <f>M242*4</f>
        <v>45.2</v>
      </c>
      <c r="Q242" s="11">
        <f>N242*4</f>
        <v>54</v>
      </c>
      <c r="R242" s="12">
        <f>(4/3)*3.14*(Q242/2)^3</f>
        <v>82406.16</v>
      </c>
      <c r="S242" s="12">
        <f>R242/1000</f>
        <v>82.40616</v>
      </c>
    </row>
    <row r="243" spans="1:19" x14ac:dyDescent="0.25">
      <c r="A243" s="7">
        <v>242</v>
      </c>
      <c r="B243" s="8" t="s">
        <v>43</v>
      </c>
      <c r="C243" s="8" t="s">
        <v>380</v>
      </c>
      <c r="D243" s="7" t="s">
        <v>713</v>
      </c>
      <c r="E243" s="8" t="s">
        <v>743</v>
      </c>
      <c r="F243" s="9">
        <v>5</v>
      </c>
      <c r="G243" s="10" t="s">
        <v>37</v>
      </c>
      <c r="H243" s="8" t="s">
        <v>20</v>
      </c>
      <c r="I243" s="8" t="s">
        <v>21</v>
      </c>
      <c r="J243" s="8"/>
      <c r="K243" s="8"/>
      <c r="L243" s="11">
        <v>8.5</v>
      </c>
      <c r="M243" s="11">
        <v>8.9</v>
      </c>
      <c r="N243" s="11">
        <v>11</v>
      </c>
      <c r="O243" s="11">
        <f>L243*4</f>
        <v>34</v>
      </c>
      <c r="P243" s="11">
        <f>M243*4</f>
        <v>35.6</v>
      </c>
      <c r="Q243" s="11">
        <f>N243*4</f>
        <v>44</v>
      </c>
      <c r="R243" s="12">
        <f>(4/3)*3.14*(Q243/2)^3</f>
        <v>44579.626666666663</v>
      </c>
      <c r="S243" s="12">
        <f>R243/1000</f>
        <v>44.579626666666663</v>
      </c>
    </row>
    <row r="244" spans="1:19" x14ac:dyDescent="0.25">
      <c r="A244" s="7">
        <v>243</v>
      </c>
      <c r="B244" s="8" t="s">
        <v>43</v>
      </c>
      <c r="C244" s="8" t="s">
        <v>381</v>
      </c>
      <c r="D244" s="7" t="s">
        <v>713</v>
      </c>
      <c r="E244" s="8" t="s">
        <v>743</v>
      </c>
      <c r="F244" s="9">
        <v>5</v>
      </c>
      <c r="G244" s="10" t="s">
        <v>33</v>
      </c>
      <c r="H244" s="8" t="s">
        <v>54</v>
      </c>
      <c r="I244" s="8" t="s">
        <v>55</v>
      </c>
      <c r="J244" s="8"/>
      <c r="K244" s="8"/>
      <c r="L244" s="11">
        <v>6.7</v>
      </c>
      <c r="M244" s="11">
        <v>5.7</v>
      </c>
      <c r="N244" s="11">
        <v>7.7</v>
      </c>
      <c r="O244" s="11">
        <f>L244*4</f>
        <v>26.8</v>
      </c>
      <c r="P244" s="11">
        <f>M244*4</f>
        <v>22.8</v>
      </c>
      <c r="Q244" s="11">
        <f>N244*4</f>
        <v>30.8</v>
      </c>
      <c r="R244" s="12">
        <f>(4/3)*3.14*(Q244/2)^3</f>
        <v>15290.811946666669</v>
      </c>
      <c r="S244" s="12">
        <f>R244/1000</f>
        <v>15.290811946666668</v>
      </c>
    </row>
    <row r="245" spans="1:19" x14ac:dyDescent="0.25">
      <c r="A245" s="7">
        <v>244</v>
      </c>
      <c r="B245" s="8" t="s">
        <v>43</v>
      </c>
      <c r="C245" s="8" t="s">
        <v>382</v>
      </c>
      <c r="D245" s="7" t="s">
        <v>713</v>
      </c>
      <c r="E245" s="8" t="s">
        <v>743</v>
      </c>
      <c r="F245" s="9">
        <v>5</v>
      </c>
      <c r="G245" s="10" t="s">
        <v>33</v>
      </c>
      <c r="H245" s="8" t="s">
        <v>54</v>
      </c>
      <c r="I245" s="8" t="s">
        <v>55</v>
      </c>
      <c r="J245" s="8"/>
      <c r="K245" s="8"/>
      <c r="L245" s="11">
        <v>6.2</v>
      </c>
      <c r="M245" s="11">
        <v>5.5</v>
      </c>
      <c r="N245" s="11">
        <v>7.3</v>
      </c>
      <c r="O245" s="11">
        <f>L245*4</f>
        <v>24.8</v>
      </c>
      <c r="P245" s="11">
        <f>M245*4</f>
        <v>22</v>
      </c>
      <c r="Q245" s="11">
        <f>N245*4</f>
        <v>29.2</v>
      </c>
      <c r="R245" s="12">
        <f>(4/3)*3.14*(Q245/2)^3</f>
        <v>13029.476053333332</v>
      </c>
      <c r="S245" s="12">
        <f>R245/1000</f>
        <v>13.029476053333331</v>
      </c>
    </row>
    <row r="246" spans="1:19" x14ac:dyDescent="0.25">
      <c r="A246" s="7">
        <v>245</v>
      </c>
      <c r="B246" s="8" t="s">
        <v>43</v>
      </c>
      <c r="C246" s="8" t="s">
        <v>383</v>
      </c>
      <c r="D246" s="7" t="s">
        <v>713</v>
      </c>
      <c r="E246" s="8" t="s">
        <v>743</v>
      </c>
      <c r="F246" s="9">
        <v>5</v>
      </c>
      <c r="G246" s="10" t="s">
        <v>33</v>
      </c>
      <c r="H246" s="8" t="s">
        <v>54</v>
      </c>
      <c r="I246" s="8" t="s">
        <v>55</v>
      </c>
      <c r="J246" s="8"/>
      <c r="K246" s="8"/>
      <c r="L246" s="11">
        <v>7.5</v>
      </c>
      <c r="M246" s="11">
        <v>6.4</v>
      </c>
      <c r="N246" s="11">
        <v>8.6</v>
      </c>
      <c r="O246" s="11">
        <f>L246*4</f>
        <v>30</v>
      </c>
      <c r="P246" s="11">
        <f>M246*4</f>
        <v>25.6</v>
      </c>
      <c r="Q246" s="11">
        <f>N246*4</f>
        <v>34.4</v>
      </c>
      <c r="R246" s="12">
        <f>(4/3)*3.14*(Q246/2)^3</f>
        <v>21303.635626666663</v>
      </c>
      <c r="S246" s="12">
        <f>R246/1000</f>
        <v>21.303635626666662</v>
      </c>
    </row>
    <row r="247" spans="1:19" x14ac:dyDescent="0.25">
      <c r="A247" s="7">
        <v>246</v>
      </c>
      <c r="B247" s="8" t="s">
        <v>43</v>
      </c>
      <c r="C247" s="8" t="s">
        <v>384</v>
      </c>
      <c r="D247" s="7" t="s">
        <v>713</v>
      </c>
      <c r="E247" s="8" t="s">
        <v>743</v>
      </c>
      <c r="F247" s="9">
        <v>5</v>
      </c>
      <c r="G247" s="10" t="s">
        <v>33</v>
      </c>
      <c r="H247" s="8" t="s">
        <v>54</v>
      </c>
      <c r="I247" s="8" t="s">
        <v>55</v>
      </c>
      <c r="J247" s="8"/>
      <c r="K247" s="8"/>
      <c r="L247" s="11">
        <v>8</v>
      </c>
      <c r="M247" s="11">
        <v>7.5</v>
      </c>
      <c r="N247" s="11">
        <v>9.6</v>
      </c>
      <c r="O247" s="11">
        <f>L247*4</f>
        <v>32</v>
      </c>
      <c r="P247" s="11">
        <f>M247*4</f>
        <v>30</v>
      </c>
      <c r="Q247" s="11">
        <f>N247*4</f>
        <v>38.4</v>
      </c>
      <c r="R247" s="12">
        <f>(4/3)*3.14*(Q247/2)^3</f>
        <v>29632.75776</v>
      </c>
      <c r="S247" s="12">
        <f>R247/1000</f>
        <v>29.632757760000001</v>
      </c>
    </row>
    <row r="248" spans="1:19" x14ac:dyDescent="0.25">
      <c r="A248" s="7">
        <v>247</v>
      </c>
      <c r="B248" s="8" t="s">
        <v>43</v>
      </c>
      <c r="C248" s="8" t="s">
        <v>385</v>
      </c>
      <c r="D248" s="7" t="s">
        <v>713</v>
      </c>
      <c r="E248" s="8" t="s">
        <v>743</v>
      </c>
      <c r="F248" s="9">
        <v>5</v>
      </c>
      <c r="G248" s="10" t="s">
        <v>25</v>
      </c>
      <c r="H248" s="8" t="s">
        <v>54</v>
      </c>
      <c r="I248" s="8" t="s">
        <v>55</v>
      </c>
      <c r="J248" s="8"/>
      <c r="K248" s="8"/>
      <c r="L248" s="11">
        <v>4.2</v>
      </c>
      <c r="M248" s="11">
        <v>3.9</v>
      </c>
      <c r="N248" s="11">
        <v>5</v>
      </c>
      <c r="O248" s="11">
        <f>L248*4</f>
        <v>16.8</v>
      </c>
      <c r="P248" s="11">
        <f>M248*4</f>
        <v>15.6</v>
      </c>
      <c r="Q248" s="11">
        <f>N248*4</f>
        <v>20</v>
      </c>
      <c r="R248" s="12">
        <f>(4/3)*3.14*(Q248/2)^3</f>
        <v>4186.666666666667</v>
      </c>
      <c r="S248" s="12">
        <f>R248/1000</f>
        <v>4.1866666666666665</v>
      </c>
    </row>
    <row r="249" spans="1:19" x14ac:dyDescent="0.25">
      <c r="A249" s="7">
        <v>248</v>
      </c>
      <c r="B249" s="8" t="s">
        <v>43</v>
      </c>
      <c r="C249" s="8" t="s">
        <v>386</v>
      </c>
      <c r="D249" s="7" t="s">
        <v>713</v>
      </c>
      <c r="E249" s="8" t="s">
        <v>743</v>
      </c>
      <c r="F249" s="9">
        <v>5</v>
      </c>
      <c r="G249" s="10" t="s">
        <v>33</v>
      </c>
      <c r="H249" s="8" t="s">
        <v>20</v>
      </c>
      <c r="I249" s="8" t="s">
        <v>21</v>
      </c>
      <c r="J249" s="8"/>
      <c r="K249" s="8"/>
      <c r="L249" s="11">
        <v>6.1</v>
      </c>
      <c r="M249" s="11">
        <v>5.0999999999999996</v>
      </c>
      <c r="N249" s="11">
        <v>7</v>
      </c>
      <c r="O249" s="11">
        <f>L249*4</f>
        <v>24.4</v>
      </c>
      <c r="P249" s="11">
        <f>M249*4</f>
        <v>20.399999999999999</v>
      </c>
      <c r="Q249" s="11">
        <f>N249*4</f>
        <v>28</v>
      </c>
      <c r="R249" s="12">
        <f>(4/3)*3.14*(Q249/2)^3</f>
        <v>11488.213333333333</v>
      </c>
      <c r="S249" s="12">
        <f>R249/1000</f>
        <v>11.488213333333332</v>
      </c>
    </row>
    <row r="250" spans="1:19" x14ac:dyDescent="0.25">
      <c r="A250" s="7">
        <v>249</v>
      </c>
      <c r="B250" s="8" t="s">
        <v>43</v>
      </c>
      <c r="C250" s="8" t="s">
        <v>387</v>
      </c>
      <c r="D250" s="7" t="s">
        <v>713</v>
      </c>
      <c r="E250" s="8" t="s">
        <v>743</v>
      </c>
      <c r="F250" s="9">
        <v>5</v>
      </c>
      <c r="G250" s="10" t="s">
        <v>37</v>
      </c>
      <c r="H250" s="8" t="s">
        <v>115</v>
      </c>
      <c r="I250" s="8" t="s">
        <v>21</v>
      </c>
      <c r="J250" s="8"/>
      <c r="K250" s="8"/>
      <c r="L250" s="11">
        <v>10.6</v>
      </c>
      <c r="M250" s="11">
        <v>8.6</v>
      </c>
      <c r="N250" s="11">
        <v>11.8</v>
      </c>
      <c r="O250" s="11">
        <f>L250*4</f>
        <v>42.4</v>
      </c>
      <c r="P250" s="11">
        <f>M250*4</f>
        <v>34.4</v>
      </c>
      <c r="Q250" s="11">
        <f>N250*4</f>
        <v>47.2</v>
      </c>
      <c r="R250" s="12">
        <f>(4/3)*3.14*(Q250/2)^3</f>
        <v>55030.618453333336</v>
      </c>
      <c r="S250" s="12">
        <f>R250/1000</f>
        <v>55.030618453333339</v>
      </c>
    </row>
    <row r="251" spans="1:19" x14ac:dyDescent="0.25">
      <c r="A251" s="7">
        <v>250</v>
      </c>
      <c r="B251" s="8" t="s">
        <v>43</v>
      </c>
      <c r="C251" s="8" t="s">
        <v>388</v>
      </c>
      <c r="D251" s="7" t="s">
        <v>713</v>
      </c>
      <c r="E251" s="8" t="s">
        <v>743</v>
      </c>
      <c r="F251" s="9">
        <v>5</v>
      </c>
      <c r="G251" s="10" t="s">
        <v>37</v>
      </c>
      <c r="H251" s="8" t="s">
        <v>20</v>
      </c>
      <c r="I251" s="8" t="s">
        <v>21</v>
      </c>
      <c r="J251" s="8"/>
      <c r="K251" s="8"/>
      <c r="L251" s="11">
        <v>10</v>
      </c>
      <c r="M251" s="11">
        <v>11.9</v>
      </c>
      <c r="N251" s="11">
        <v>14</v>
      </c>
      <c r="O251" s="11">
        <f>L251*4</f>
        <v>40</v>
      </c>
      <c r="P251" s="11">
        <f>M251*4</f>
        <v>47.6</v>
      </c>
      <c r="Q251" s="11">
        <f>N251*4</f>
        <v>56</v>
      </c>
      <c r="R251" s="12">
        <f>(4/3)*3.14*(Q251/2)^3</f>
        <v>91905.706666666665</v>
      </c>
      <c r="S251" s="12">
        <f>R251/1000</f>
        <v>91.90570666666666</v>
      </c>
    </row>
    <row r="252" spans="1:19" x14ac:dyDescent="0.25">
      <c r="A252" s="7">
        <v>251</v>
      </c>
      <c r="B252" s="8" t="s">
        <v>43</v>
      </c>
      <c r="C252" s="8" t="s">
        <v>389</v>
      </c>
      <c r="D252" s="7" t="s">
        <v>713</v>
      </c>
      <c r="E252" s="8" t="s">
        <v>743</v>
      </c>
      <c r="F252" s="9">
        <v>5</v>
      </c>
      <c r="G252" s="10" t="s">
        <v>33</v>
      </c>
      <c r="H252" s="8" t="s">
        <v>54</v>
      </c>
      <c r="I252" s="8" t="s">
        <v>55</v>
      </c>
      <c r="J252" s="8"/>
      <c r="K252" s="8"/>
      <c r="L252" s="11">
        <v>6.4</v>
      </c>
      <c r="M252" s="11">
        <v>5.2</v>
      </c>
      <c r="N252" s="11">
        <v>7.1</v>
      </c>
      <c r="O252" s="11">
        <f>L252*4</f>
        <v>25.6</v>
      </c>
      <c r="P252" s="11">
        <f>M252*4</f>
        <v>20.8</v>
      </c>
      <c r="Q252" s="11">
        <f>N252*4</f>
        <v>28.4</v>
      </c>
      <c r="R252" s="12">
        <f>(4/3)*3.14*(Q252/2)^3</f>
        <v>11987.632426666665</v>
      </c>
      <c r="S252" s="12">
        <f>R252/1000</f>
        <v>11.987632426666666</v>
      </c>
    </row>
    <row r="253" spans="1:19" x14ac:dyDescent="0.25">
      <c r="A253" s="7">
        <v>252</v>
      </c>
      <c r="B253" s="8" t="s">
        <v>43</v>
      </c>
      <c r="C253" s="8" t="s">
        <v>390</v>
      </c>
      <c r="D253" s="7" t="s">
        <v>713</v>
      </c>
      <c r="E253" s="8" t="s">
        <v>743</v>
      </c>
      <c r="F253" s="9">
        <v>5</v>
      </c>
      <c r="G253" s="10" t="s">
        <v>33</v>
      </c>
      <c r="H253" s="8" t="s">
        <v>20</v>
      </c>
      <c r="I253" s="8" t="s">
        <v>21</v>
      </c>
      <c r="J253" s="8"/>
      <c r="K253" s="8"/>
      <c r="L253" s="11">
        <v>5.3</v>
      </c>
      <c r="M253" s="11">
        <v>5.6</v>
      </c>
      <c r="N253" s="11">
        <v>6.8</v>
      </c>
      <c r="O253" s="11">
        <f>L253*4</f>
        <v>21.2</v>
      </c>
      <c r="P253" s="11">
        <f>M253*4</f>
        <v>22.4</v>
      </c>
      <c r="Q253" s="11">
        <f>N253*4</f>
        <v>27.2</v>
      </c>
      <c r="R253" s="12">
        <f>(4/3)*3.14*(Q253/2)^3</f>
        <v>10531.375786666666</v>
      </c>
      <c r="S253" s="12">
        <f>R253/1000</f>
        <v>10.531375786666665</v>
      </c>
    </row>
    <row r="254" spans="1:19" x14ac:dyDescent="0.25">
      <c r="A254" s="7">
        <v>253</v>
      </c>
      <c r="B254" s="8" t="s">
        <v>43</v>
      </c>
      <c r="C254" s="8" t="s">
        <v>391</v>
      </c>
      <c r="D254" s="7" t="s">
        <v>713</v>
      </c>
      <c r="E254" s="8" t="s">
        <v>743</v>
      </c>
      <c r="F254" s="9">
        <v>5</v>
      </c>
      <c r="G254" s="10" t="s">
        <v>33</v>
      </c>
      <c r="H254" s="8" t="s">
        <v>20</v>
      </c>
      <c r="I254" s="8" t="s">
        <v>21</v>
      </c>
      <c r="J254" s="8"/>
      <c r="K254" s="8"/>
      <c r="L254" s="11">
        <v>8.1</v>
      </c>
      <c r="M254" s="11">
        <v>7.3</v>
      </c>
      <c r="N254" s="11">
        <v>9.5</v>
      </c>
      <c r="O254" s="11">
        <f>L254*4</f>
        <v>32.4</v>
      </c>
      <c r="P254" s="11">
        <f>M254*4</f>
        <v>29.2</v>
      </c>
      <c r="Q254" s="11">
        <f>N254*4</f>
        <v>38</v>
      </c>
      <c r="R254" s="12">
        <f>(4/3)*3.14*(Q254/2)^3</f>
        <v>28716.346666666665</v>
      </c>
      <c r="S254" s="12">
        <f>R254/1000</f>
        <v>28.716346666666663</v>
      </c>
    </row>
    <row r="255" spans="1:19" x14ac:dyDescent="0.25">
      <c r="A255" s="7">
        <v>254</v>
      </c>
      <c r="B255" s="8" t="s">
        <v>43</v>
      </c>
      <c r="C255" s="8" t="s">
        <v>392</v>
      </c>
      <c r="D255" s="7" t="s">
        <v>713</v>
      </c>
      <c r="E255" s="8" t="s">
        <v>743</v>
      </c>
      <c r="F255" s="9">
        <v>5</v>
      </c>
      <c r="G255" s="10" t="s">
        <v>37</v>
      </c>
      <c r="H255" s="8" t="s">
        <v>20</v>
      </c>
      <c r="I255" s="8" t="s">
        <v>21</v>
      </c>
      <c r="J255" s="8"/>
      <c r="K255" s="8"/>
      <c r="L255" s="11">
        <v>10.199999999999999</v>
      </c>
      <c r="M255" s="11">
        <v>9.1999999999999993</v>
      </c>
      <c r="N255" s="11">
        <v>12.1</v>
      </c>
      <c r="O255" s="11">
        <f>L255*4</f>
        <v>40.799999999999997</v>
      </c>
      <c r="P255" s="11">
        <f>M255*4</f>
        <v>36.799999999999997</v>
      </c>
      <c r="Q255" s="11">
        <f>N255*4</f>
        <v>48.4</v>
      </c>
      <c r="R255" s="12">
        <f>(4/3)*3.14*(Q255/2)^3</f>
        <v>59335.483093333329</v>
      </c>
      <c r="S255" s="12">
        <f>R255/1000</f>
        <v>59.33548309333333</v>
      </c>
    </row>
    <row r="256" spans="1:19" x14ac:dyDescent="0.25">
      <c r="A256" s="7">
        <v>255</v>
      </c>
      <c r="B256" s="8" t="s">
        <v>43</v>
      </c>
      <c r="C256" s="8" t="s">
        <v>393</v>
      </c>
      <c r="D256" s="7" t="s">
        <v>713</v>
      </c>
      <c r="E256" s="8" t="s">
        <v>743</v>
      </c>
      <c r="F256" s="9">
        <v>5</v>
      </c>
      <c r="G256" s="10" t="s">
        <v>37</v>
      </c>
      <c r="H256" s="8" t="s">
        <v>20</v>
      </c>
      <c r="I256" s="8" t="s">
        <v>21</v>
      </c>
      <c r="J256" s="8"/>
      <c r="K256" s="8"/>
      <c r="L256" s="11">
        <v>10.1</v>
      </c>
      <c r="M256" s="11">
        <v>7.9</v>
      </c>
      <c r="N256" s="11">
        <v>11.2</v>
      </c>
      <c r="O256" s="11">
        <f>L256*4</f>
        <v>40.4</v>
      </c>
      <c r="P256" s="11">
        <f>M256*4</f>
        <v>31.6</v>
      </c>
      <c r="Q256" s="11">
        <f>N256*4</f>
        <v>44.8</v>
      </c>
      <c r="R256" s="12">
        <f>(4/3)*3.14*(Q256/2)^3</f>
        <v>47055.721813333323</v>
      </c>
      <c r="S256" s="12">
        <f>R256/1000</f>
        <v>47.055721813333321</v>
      </c>
    </row>
    <row r="257" spans="1:19" x14ac:dyDescent="0.25">
      <c r="A257" s="7">
        <v>256</v>
      </c>
      <c r="B257" s="8" t="s">
        <v>43</v>
      </c>
      <c r="C257" s="8" t="s">
        <v>394</v>
      </c>
      <c r="D257" s="7" t="s">
        <v>713</v>
      </c>
      <c r="E257" s="8" t="s">
        <v>743</v>
      </c>
      <c r="F257" s="9">
        <v>5</v>
      </c>
      <c r="G257" s="10" t="s">
        <v>37</v>
      </c>
      <c r="H257" s="8" t="s">
        <v>100</v>
      </c>
      <c r="I257" s="8" t="s">
        <v>21</v>
      </c>
      <c r="J257" s="8"/>
      <c r="K257" s="8"/>
      <c r="L257" s="11">
        <v>10.199999999999999</v>
      </c>
      <c r="M257" s="11">
        <v>9.6</v>
      </c>
      <c r="N257" s="11">
        <v>12.3</v>
      </c>
      <c r="O257" s="11">
        <f>L257*4</f>
        <v>40.799999999999997</v>
      </c>
      <c r="P257" s="11">
        <f>M257*4</f>
        <v>38.4</v>
      </c>
      <c r="Q257" s="11">
        <f>N257*4</f>
        <v>49.2</v>
      </c>
      <c r="R257" s="12">
        <f>(4/3)*3.14*(Q257/2)^3</f>
        <v>62326.63872000001</v>
      </c>
      <c r="S257" s="12">
        <f>R257/1000</f>
        <v>62.326638720000012</v>
      </c>
    </row>
    <row r="258" spans="1:19" x14ac:dyDescent="0.25">
      <c r="A258" s="7">
        <v>257</v>
      </c>
      <c r="B258" s="8" t="s">
        <v>43</v>
      </c>
      <c r="C258" s="8" t="s">
        <v>395</v>
      </c>
      <c r="D258" s="7" t="s">
        <v>713</v>
      </c>
      <c r="E258" s="8" t="s">
        <v>743</v>
      </c>
      <c r="F258" s="9">
        <v>5</v>
      </c>
      <c r="G258" s="10" t="s">
        <v>37</v>
      </c>
      <c r="H258" s="8" t="s">
        <v>20</v>
      </c>
      <c r="I258" s="8" t="s">
        <v>21</v>
      </c>
      <c r="J258" s="8"/>
      <c r="K258" s="8"/>
      <c r="L258" s="11">
        <v>9.1999999999999993</v>
      </c>
      <c r="M258" s="11">
        <v>9.3000000000000007</v>
      </c>
      <c r="N258" s="11">
        <v>11.6</v>
      </c>
      <c r="O258" s="11">
        <f>L258*4</f>
        <v>36.799999999999997</v>
      </c>
      <c r="P258" s="11">
        <f>M258*4</f>
        <v>37.200000000000003</v>
      </c>
      <c r="Q258" s="11">
        <f>N258*4</f>
        <v>46.4</v>
      </c>
      <c r="R258" s="12">
        <f>(4/3)*3.14*(Q258/2)^3</f>
        <v>52279.610026666662</v>
      </c>
      <c r="S258" s="12">
        <f>R258/1000</f>
        <v>52.27961002666666</v>
      </c>
    </row>
    <row r="259" spans="1:19" x14ac:dyDescent="0.25">
      <c r="A259" s="7">
        <v>258</v>
      </c>
      <c r="B259" s="8" t="s">
        <v>43</v>
      </c>
      <c r="C259" s="8" t="s">
        <v>396</v>
      </c>
      <c r="D259" s="7" t="s">
        <v>713</v>
      </c>
      <c r="E259" s="8" t="s">
        <v>743</v>
      </c>
      <c r="F259" s="9">
        <v>5</v>
      </c>
      <c r="G259" s="10" t="s">
        <v>37</v>
      </c>
      <c r="H259" s="8" t="s">
        <v>54</v>
      </c>
      <c r="I259" s="8" t="s">
        <v>55</v>
      </c>
      <c r="J259" s="8"/>
      <c r="K259" s="8"/>
      <c r="L259" s="11">
        <v>9.6</v>
      </c>
      <c r="M259" s="11">
        <v>7</v>
      </c>
      <c r="N259" s="11">
        <v>10.3</v>
      </c>
      <c r="O259" s="11">
        <f>L259*4</f>
        <v>38.4</v>
      </c>
      <c r="P259" s="11">
        <f>M259*4</f>
        <v>28</v>
      </c>
      <c r="Q259" s="11">
        <f>N259*4</f>
        <v>41.2</v>
      </c>
      <c r="R259" s="12">
        <f>(4/3)*3.14*(Q259/2)^3</f>
        <v>36599.069653333339</v>
      </c>
      <c r="S259" s="12">
        <f>R259/1000</f>
        <v>36.599069653333338</v>
      </c>
    </row>
    <row r="260" spans="1:19" x14ac:dyDescent="0.25">
      <c r="A260" s="7">
        <v>259</v>
      </c>
      <c r="B260" s="8" t="s">
        <v>43</v>
      </c>
      <c r="C260" s="8" t="s">
        <v>119</v>
      </c>
      <c r="D260" s="7" t="s">
        <v>713</v>
      </c>
      <c r="E260" s="8" t="s">
        <v>743</v>
      </c>
      <c r="F260" s="9">
        <v>2</v>
      </c>
      <c r="G260" s="10" t="s">
        <v>25</v>
      </c>
      <c r="H260" s="8" t="s">
        <v>20</v>
      </c>
      <c r="I260" s="8" t="s">
        <v>21</v>
      </c>
      <c r="J260" s="8"/>
      <c r="K260" s="8"/>
      <c r="L260" s="11">
        <v>5.7</v>
      </c>
      <c r="M260" s="11">
        <v>2.1</v>
      </c>
      <c r="N260" s="11">
        <v>5.7</v>
      </c>
      <c r="O260" s="11">
        <f>L260*4</f>
        <v>22.8</v>
      </c>
      <c r="P260" s="11">
        <f>M260*4</f>
        <v>8.4</v>
      </c>
      <c r="Q260" s="11">
        <f>N260*4</f>
        <v>22.8</v>
      </c>
      <c r="R260" s="12">
        <f>(1/3)*3.14*P260^2*(3*(Q260/2)-P260)</f>
        <v>1905.4022400000003</v>
      </c>
      <c r="S260" s="12">
        <f>R260/1000</f>
        <v>1.9054022400000004</v>
      </c>
    </row>
    <row r="261" spans="1:19" x14ac:dyDescent="0.25">
      <c r="A261" s="7">
        <v>260</v>
      </c>
      <c r="B261" s="8" t="s">
        <v>43</v>
      </c>
      <c r="C261" s="8" t="s">
        <v>120</v>
      </c>
      <c r="D261" s="7" t="s">
        <v>713</v>
      </c>
      <c r="E261" s="8" t="s">
        <v>743</v>
      </c>
      <c r="F261" s="9">
        <v>2</v>
      </c>
      <c r="G261" s="10" t="s">
        <v>25</v>
      </c>
      <c r="H261" s="8" t="s">
        <v>20</v>
      </c>
      <c r="I261" s="8" t="s">
        <v>21</v>
      </c>
      <c r="J261" s="8"/>
      <c r="K261" s="8"/>
      <c r="L261" s="11">
        <v>6</v>
      </c>
      <c r="M261" s="11">
        <v>2.4</v>
      </c>
      <c r="N261" s="11">
        <v>6</v>
      </c>
      <c r="O261" s="11">
        <f>L261*4</f>
        <v>24</v>
      </c>
      <c r="P261" s="11">
        <f>M261*4</f>
        <v>9.6</v>
      </c>
      <c r="Q261" s="11">
        <f>N261*4</f>
        <v>24</v>
      </c>
      <c r="R261" s="12">
        <f>(1/3)*3.14*P261^2*(3*(Q261/2)-P261)</f>
        <v>2546.5651199999998</v>
      </c>
      <c r="S261" s="12">
        <f>R261/1000</f>
        <v>2.5465651199999999</v>
      </c>
    </row>
    <row r="262" spans="1:19" x14ac:dyDescent="0.25">
      <c r="A262" s="7">
        <v>261</v>
      </c>
      <c r="B262" s="8" t="s">
        <v>43</v>
      </c>
      <c r="C262" s="8" t="s">
        <v>214</v>
      </c>
      <c r="D262" s="7" t="s">
        <v>713</v>
      </c>
      <c r="E262" s="8" t="s">
        <v>743</v>
      </c>
      <c r="F262" s="9">
        <v>4</v>
      </c>
      <c r="G262" s="10" t="s">
        <v>25</v>
      </c>
      <c r="H262" s="8" t="s">
        <v>54</v>
      </c>
      <c r="I262" s="8" t="s">
        <v>55</v>
      </c>
      <c r="J262" s="8"/>
      <c r="K262" s="8"/>
      <c r="L262" s="11">
        <v>4.5</v>
      </c>
      <c r="M262" s="11">
        <v>2.1</v>
      </c>
      <c r="N262" s="11">
        <v>4.5</v>
      </c>
      <c r="O262" s="11">
        <f>L262*4</f>
        <v>18</v>
      </c>
      <c r="P262" s="11">
        <f>M262*4</f>
        <v>8.4</v>
      </c>
      <c r="Q262" s="11">
        <f>N262*4</f>
        <v>18</v>
      </c>
      <c r="R262" s="12">
        <f>2/3*3.14*(Q262/2)^3</f>
        <v>1526.04</v>
      </c>
      <c r="S262" s="12">
        <f>R262/1000</f>
        <v>1.5260400000000001</v>
      </c>
    </row>
    <row r="263" spans="1:19" x14ac:dyDescent="0.25">
      <c r="A263" s="7">
        <v>262</v>
      </c>
      <c r="B263" s="8" t="s">
        <v>43</v>
      </c>
      <c r="C263" s="8" t="s">
        <v>121</v>
      </c>
      <c r="D263" s="7" t="s">
        <v>713</v>
      </c>
      <c r="E263" s="8" t="s">
        <v>743</v>
      </c>
      <c r="F263" s="9">
        <v>2</v>
      </c>
      <c r="G263" s="10" t="s">
        <v>25</v>
      </c>
      <c r="H263" s="8" t="s">
        <v>20</v>
      </c>
      <c r="I263" s="8" t="s">
        <v>21</v>
      </c>
      <c r="J263" s="8"/>
      <c r="K263" s="8"/>
      <c r="L263" s="11">
        <v>4.5</v>
      </c>
      <c r="M263" s="11">
        <v>1.9</v>
      </c>
      <c r="N263" s="11">
        <v>4.5</v>
      </c>
      <c r="O263" s="11">
        <f>L263*4</f>
        <v>18</v>
      </c>
      <c r="P263" s="11">
        <f>M263*4</f>
        <v>7.6</v>
      </c>
      <c r="Q263" s="11">
        <f>N263*4</f>
        <v>18</v>
      </c>
      <c r="R263" s="12">
        <f>(1/3)*3.14*P263^2*(3*(Q263/2)-P263)</f>
        <v>1172.8360533333332</v>
      </c>
      <c r="S263" s="12">
        <f>R263/1000</f>
        <v>1.1728360533333333</v>
      </c>
    </row>
    <row r="264" spans="1:19" x14ac:dyDescent="0.25">
      <c r="A264" s="7">
        <v>263</v>
      </c>
      <c r="B264" s="8" t="s">
        <v>43</v>
      </c>
      <c r="C264" s="8" t="s">
        <v>122</v>
      </c>
      <c r="D264" s="7" t="s">
        <v>713</v>
      </c>
      <c r="E264" s="8" t="s">
        <v>743</v>
      </c>
      <c r="F264" s="9">
        <v>2</v>
      </c>
      <c r="G264" s="10" t="s">
        <v>25</v>
      </c>
      <c r="H264" s="8" t="s">
        <v>54</v>
      </c>
      <c r="I264" s="8" t="s">
        <v>55</v>
      </c>
      <c r="J264" s="8"/>
      <c r="K264" s="8"/>
      <c r="L264" s="11">
        <v>6.5</v>
      </c>
      <c r="M264" s="11">
        <v>2.2000000000000002</v>
      </c>
      <c r="N264" s="11">
        <v>6.5</v>
      </c>
      <c r="O264" s="11">
        <f>L264*4</f>
        <v>26</v>
      </c>
      <c r="P264" s="11">
        <f>M264*4</f>
        <v>8.8000000000000007</v>
      </c>
      <c r="Q264" s="11">
        <f>N264*4</f>
        <v>26</v>
      </c>
      <c r="R264" s="12">
        <f>(1/3)*3.14*P264^2*(3*(Q264/2)-P264)</f>
        <v>2447.8267733333337</v>
      </c>
      <c r="S264" s="12">
        <f>R264/1000</f>
        <v>2.4478267733333339</v>
      </c>
    </row>
    <row r="265" spans="1:19" x14ac:dyDescent="0.25">
      <c r="A265" s="7">
        <v>264</v>
      </c>
      <c r="B265" s="8" t="s">
        <v>43</v>
      </c>
      <c r="C265" s="8" t="s">
        <v>123</v>
      </c>
      <c r="D265" s="7" t="s">
        <v>713</v>
      </c>
      <c r="E265" s="8" t="s">
        <v>743</v>
      </c>
      <c r="F265" s="9">
        <v>2</v>
      </c>
      <c r="G265" s="10" t="s">
        <v>25</v>
      </c>
      <c r="H265" s="8" t="s">
        <v>20</v>
      </c>
      <c r="I265" s="8" t="s">
        <v>21</v>
      </c>
      <c r="J265" s="8"/>
      <c r="K265" s="8"/>
      <c r="L265" s="11">
        <v>6.4</v>
      </c>
      <c r="M265" s="11">
        <v>2.8</v>
      </c>
      <c r="N265" s="11">
        <v>6.4</v>
      </c>
      <c r="O265" s="11">
        <f>L265*4</f>
        <v>25.6</v>
      </c>
      <c r="P265" s="11">
        <f>M265*4</f>
        <v>11.2</v>
      </c>
      <c r="Q265" s="11">
        <f>N265*4</f>
        <v>25.6</v>
      </c>
      <c r="R265" s="12">
        <f>(1/3)*3.14*P265^2*(3*(Q265/2)-P265)</f>
        <v>3571.1931733333336</v>
      </c>
      <c r="S265" s="12">
        <f>R265/1000</f>
        <v>3.5711931733333335</v>
      </c>
    </row>
    <row r="266" spans="1:19" x14ac:dyDescent="0.25">
      <c r="A266" s="7">
        <v>265</v>
      </c>
      <c r="B266" s="8" t="s">
        <v>43</v>
      </c>
      <c r="C266" s="8" t="s">
        <v>124</v>
      </c>
      <c r="D266" s="7" t="s">
        <v>713</v>
      </c>
      <c r="E266" s="8" t="s">
        <v>743</v>
      </c>
      <c r="F266" s="9">
        <v>2</v>
      </c>
      <c r="G266" s="10" t="s">
        <v>33</v>
      </c>
      <c r="H266" s="8" t="s">
        <v>20</v>
      </c>
      <c r="I266" s="8" t="s">
        <v>21</v>
      </c>
      <c r="J266" s="8"/>
      <c r="K266" s="8"/>
      <c r="L266" s="11">
        <v>8.6999999999999993</v>
      </c>
      <c r="M266" s="11">
        <v>3.2</v>
      </c>
      <c r="N266" s="11">
        <v>8.6999999999999993</v>
      </c>
      <c r="O266" s="11">
        <f>L266*4</f>
        <v>34.799999999999997</v>
      </c>
      <c r="P266" s="11">
        <f>M266*4</f>
        <v>12.8</v>
      </c>
      <c r="Q266" s="11">
        <f>N266*4</f>
        <v>34.799999999999997</v>
      </c>
      <c r="R266" s="12">
        <f>(1/3)*3.14*P266^2*(3*(Q266/2)-P266)</f>
        <v>6756.543146666666</v>
      </c>
      <c r="S266" s="12">
        <f>R266/1000</f>
        <v>6.7565431466666661</v>
      </c>
    </row>
    <row r="267" spans="1:19" x14ac:dyDescent="0.25">
      <c r="A267" s="7">
        <v>266</v>
      </c>
      <c r="B267" s="8" t="s">
        <v>43</v>
      </c>
      <c r="C267" s="8" t="s">
        <v>125</v>
      </c>
      <c r="D267" s="7" t="s">
        <v>713</v>
      </c>
      <c r="E267" s="8" t="s">
        <v>743</v>
      </c>
      <c r="F267" s="9">
        <v>2</v>
      </c>
      <c r="G267" s="10" t="s">
        <v>25</v>
      </c>
      <c r="H267" s="8" t="s">
        <v>20</v>
      </c>
      <c r="I267" s="8" t="s">
        <v>21</v>
      </c>
      <c r="J267" s="8"/>
      <c r="K267" s="8"/>
      <c r="L267" s="11">
        <v>5</v>
      </c>
      <c r="M267" s="11">
        <v>2</v>
      </c>
      <c r="N267" s="11">
        <v>5</v>
      </c>
      <c r="O267" s="11">
        <f>L267*4</f>
        <v>20</v>
      </c>
      <c r="P267" s="11">
        <f>M267*4</f>
        <v>8</v>
      </c>
      <c r="Q267" s="11">
        <f>N267*4</f>
        <v>20</v>
      </c>
      <c r="R267" s="12">
        <f>(1/3)*3.14*P267^2*(3*(Q267/2)-P267)</f>
        <v>1473.7066666666667</v>
      </c>
      <c r="S267" s="12">
        <f>R267/1000</f>
        <v>1.4737066666666667</v>
      </c>
    </row>
    <row r="268" spans="1:19" x14ac:dyDescent="0.25">
      <c r="A268" s="7">
        <v>267</v>
      </c>
      <c r="B268" s="8" t="s">
        <v>43</v>
      </c>
      <c r="C268" s="8" t="s">
        <v>126</v>
      </c>
      <c r="D268" s="7" t="s">
        <v>713</v>
      </c>
      <c r="E268" s="8" t="s">
        <v>743</v>
      </c>
      <c r="F268" s="9">
        <v>2</v>
      </c>
      <c r="G268" s="10" t="s">
        <v>25</v>
      </c>
      <c r="H268" s="8" t="s">
        <v>20</v>
      </c>
      <c r="I268" s="8" t="s">
        <v>21</v>
      </c>
      <c r="J268" s="8"/>
      <c r="K268" s="8"/>
      <c r="L268" s="11">
        <v>6.3</v>
      </c>
      <c r="M268" s="11">
        <v>2.5</v>
      </c>
      <c r="N268" s="11">
        <v>6.3</v>
      </c>
      <c r="O268" s="11">
        <f>L268*4</f>
        <v>25.2</v>
      </c>
      <c r="P268" s="11">
        <f>M268*4</f>
        <v>10</v>
      </c>
      <c r="Q268" s="11">
        <f>N268*4</f>
        <v>25.2</v>
      </c>
      <c r="R268" s="12">
        <f>(1/3)*3.14*P268^2*(3*(Q268/2)-P268)</f>
        <v>2909.7333333333327</v>
      </c>
      <c r="S268" s="12">
        <f>R268/1000</f>
        <v>2.9097333333333326</v>
      </c>
    </row>
    <row r="269" spans="1:19" x14ac:dyDescent="0.25">
      <c r="A269" s="7">
        <v>268</v>
      </c>
      <c r="B269" s="8" t="s">
        <v>43</v>
      </c>
      <c r="C269" s="8" t="s">
        <v>127</v>
      </c>
      <c r="D269" s="7" t="s">
        <v>713</v>
      </c>
      <c r="E269" s="8" t="s">
        <v>743</v>
      </c>
      <c r="F269" s="9">
        <v>2</v>
      </c>
      <c r="G269" s="10" t="s">
        <v>25</v>
      </c>
      <c r="H269" s="8" t="s">
        <v>20</v>
      </c>
      <c r="I269" s="8" t="s">
        <v>21</v>
      </c>
      <c r="J269" s="8"/>
      <c r="K269" s="8"/>
      <c r="L269" s="11">
        <v>7.5</v>
      </c>
      <c r="M269" s="11">
        <v>3</v>
      </c>
      <c r="N269" s="11">
        <v>7.5</v>
      </c>
      <c r="O269" s="11">
        <f>L269*4</f>
        <v>30</v>
      </c>
      <c r="P269" s="11">
        <f>M269*4</f>
        <v>12</v>
      </c>
      <c r="Q269" s="11">
        <f>N269*4</f>
        <v>30</v>
      </c>
      <c r="R269" s="12">
        <f>(1/3)*3.14*P269^2*(3*(Q269/2)-P269)</f>
        <v>4973.76</v>
      </c>
      <c r="S269" s="12">
        <f>R269/1000</f>
        <v>4.9737600000000004</v>
      </c>
    </row>
    <row r="270" spans="1:19" x14ac:dyDescent="0.25">
      <c r="A270" s="7">
        <v>269</v>
      </c>
      <c r="B270" s="8" t="s">
        <v>43</v>
      </c>
      <c r="C270" s="8" t="s">
        <v>215</v>
      </c>
      <c r="D270" s="7" t="s">
        <v>713</v>
      </c>
      <c r="E270" s="8" t="s">
        <v>743</v>
      </c>
      <c r="F270" s="9">
        <v>4</v>
      </c>
      <c r="G270" s="10" t="s">
        <v>33</v>
      </c>
      <c r="H270" s="8" t="s">
        <v>20</v>
      </c>
      <c r="I270" s="8" t="s">
        <v>21</v>
      </c>
      <c r="J270" s="8"/>
      <c r="K270" s="8"/>
      <c r="L270" s="11">
        <v>7.5</v>
      </c>
      <c r="M270" s="11">
        <v>3.9</v>
      </c>
      <c r="N270" s="11">
        <v>7.5</v>
      </c>
      <c r="O270" s="11">
        <f>L270*4</f>
        <v>30</v>
      </c>
      <c r="P270" s="11">
        <f>M270*4</f>
        <v>15.6</v>
      </c>
      <c r="Q270" s="11">
        <f>N270*4</f>
        <v>30</v>
      </c>
      <c r="R270" s="12">
        <f>2/3*3.14*(Q270/2)^3</f>
        <v>7065</v>
      </c>
      <c r="S270" s="12">
        <f>R270/1000</f>
        <v>7.0650000000000004</v>
      </c>
    </row>
    <row r="271" spans="1:19" x14ac:dyDescent="0.25">
      <c r="A271" s="7">
        <v>270</v>
      </c>
      <c r="B271" s="8" t="s">
        <v>43</v>
      </c>
      <c r="C271" s="8" t="s">
        <v>216</v>
      </c>
      <c r="D271" s="7" t="s">
        <v>713</v>
      </c>
      <c r="E271" s="8" t="s">
        <v>743</v>
      </c>
      <c r="F271" s="9">
        <v>4</v>
      </c>
      <c r="G271" s="10" t="s">
        <v>33</v>
      </c>
      <c r="H271" s="8" t="s">
        <v>20</v>
      </c>
      <c r="I271" s="8" t="s">
        <v>21</v>
      </c>
      <c r="J271" s="8"/>
      <c r="K271" s="8"/>
      <c r="L271" s="11">
        <v>10</v>
      </c>
      <c r="M271" s="11">
        <v>5.2</v>
      </c>
      <c r="N271" s="11">
        <v>10</v>
      </c>
      <c r="O271" s="11">
        <f>L271*4</f>
        <v>40</v>
      </c>
      <c r="P271" s="11">
        <f>M271*4</f>
        <v>20.8</v>
      </c>
      <c r="Q271" s="11">
        <f>N271*4</f>
        <v>40</v>
      </c>
      <c r="R271" s="12">
        <f>2/3*3.14*(Q271/2)^3</f>
        <v>16746.666666666668</v>
      </c>
      <c r="S271" s="12">
        <f>R271/1000</f>
        <v>16.746666666666666</v>
      </c>
    </row>
    <row r="272" spans="1:19" x14ac:dyDescent="0.25">
      <c r="A272" s="7">
        <v>271</v>
      </c>
      <c r="B272" s="8" t="s">
        <v>43</v>
      </c>
      <c r="C272" s="8" t="s">
        <v>217</v>
      </c>
      <c r="D272" s="7" t="s">
        <v>713</v>
      </c>
      <c r="E272" s="8" t="s">
        <v>743</v>
      </c>
      <c r="F272" s="9">
        <v>4</v>
      </c>
      <c r="G272" s="10" t="s">
        <v>25</v>
      </c>
      <c r="H272" s="8" t="s">
        <v>20</v>
      </c>
      <c r="I272" s="8" t="s">
        <v>21</v>
      </c>
      <c r="J272" s="8"/>
      <c r="K272" s="8"/>
      <c r="L272" s="11">
        <v>5</v>
      </c>
      <c r="M272" s="11">
        <v>3.1</v>
      </c>
      <c r="N272" s="11">
        <v>5</v>
      </c>
      <c r="O272" s="11">
        <f>L272*4</f>
        <v>20</v>
      </c>
      <c r="P272" s="11">
        <f>M272*4</f>
        <v>12.4</v>
      </c>
      <c r="Q272" s="11">
        <f>N272*4</f>
        <v>20</v>
      </c>
      <c r="R272" s="12">
        <f>2/3*3.14*(Q272/2)^3</f>
        <v>2093.3333333333335</v>
      </c>
      <c r="S272" s="12">
        <f>R272/1000</f>
        <v>2.0933333333333333</v>
      </c>
    </row>
    <row r="273" spans="1:19" x14ac:dyDescent="0.25">
      <c r="A273" s="7">
        <v>272</v>
      </c>
      <c r="B273" s="8" t="s">
        <v>43</v>
      </c>
      <c r="C273" s="8" t="s">
        <v>218</v>
      </c>
      <c r="D273" s="7" t="s">
        <v>713</v>
      </c>
      <c r="E273" s="8" t="s">
        <v>743</v>
      </c>
      <c r="F273" s="9">
        <v>4</v>
      </c>
      <c r="G273" s="10" t="s">
        <v>33</v>
      </c>
      <c r="H273" s="8" t="s">
        <v>20</v>
      </c>
      <c r="I273" s="8" t="s">
        <v>21</v>
      </c>
      <c r="J273" s="8"/>
      <c r="K273" s="8"/>
      <c r="L273" s="11">
        <v>10</v>
      </c>
      <c r="M273" s="11">
        <v>6.1</v>
      </c>
      <c r="N273" s="11">
        <v>10</v>
      </c>
      <c r="O273" s="11">
        <f>L273*4</f>
        <v>40</v>
      </c>
      <c r="P273" s="11">
        <f>M273*4</f>
        <v>24.4</v>
      </c>
      <c r="Q273" s="11">
        <f>N273*4</f>
        <v>40</v>
      </c>
      <c r="R273" s="12">
        <f>2/3*3.14*(Q273/2)^3</f>
        <v>16746.666666666668</v>
      </c>
      <c r="S273" s="12">
        <f>R273/1000</f>
        <v>16.746666666666666</v>
      </c>
    </row>
    <row r="274" spans="1:19" x14ac:dyDescent="0.25">
      <c r="A274" s="7">
        <v>273</v>
      </c>
      <c r="B274" s="8" t="s">
        <v>43</v>
      </c>
      <c r="C274" s="8" t="s">
        <v>219</v>
      </c>
      <c r="D274" s="7" t="s">
        <v>713</v>
      </c>
      <c r="E274" s="8" t="s">
        <v>743</v>
      </c>
      <c r="F274" s="9">
        <v>4</v>
      </c>
      <c r="G274" s="10" t="s">
        <v>25</v>
      </c>
      <c r="H274" s="8" t="s">
        <v>20</v>
      </c>
      <c r="I274" s="8" t="s">
        <v>21</v>
      </c>
      <c r="J274" s="8"/>
      <c r="K274" s="8"/>
      <c r="L274" s="11">
        <v>5.5</v>
      </c>
      <c r="M274" s="11">
        <v>3.8</v>
      </c>
      <c r="N274" s="11">
        <v>5.5</v>
      </c>
      <c r="O274" s="11">
        <f>L274*4</f>
        <v>22</v>
      </c>
      <c r="P274" s="11">
        <f>M274*4</f>
        <v>15.2</v>
      </c>
      <c r="Q274" s="11">
        <f>N274*4</f>
        <v>22</v>
      </c>
      <c r="R274" s="12">
        <f>2/3*3.14*(Q274/2)^3</f>
        <v>2786.2266666666665</v>
      </c>
      <c r="S274" s="12">
        <f>R274/1000</f>
        <v>2.7862266666666664</v>
      </c>
    </row>
    <row r="275" spans="1:19" x14ac:dyDescent="0.25">
      <c r="A275" s="7">
        <v>274</v>
      </c>
      <c r="B275" s="8" t="s">
        <v>43</v>
      </c>
      <c r="C275" s="8" t="s">
        <v>220</v>
      </c>
      <c r="D275" s="7" t="s">
        <v>713</v>
      </c>
      <c r="E275" s="8" t="s">
        <v>743</v>
      </c>
      <c r="F275" s="9">
        <v>4</v>
      </c>
      <c r="G275" s="10" t="s">
        <v>33</v>
      </c>
      <c r="H275" s="8" t="s">
        <v>20</v>
      </c>
      <c r="I275" s="8" t="s">
        <v>21</v>
      </c>
      <c r="J275" s="8"/>
      <c r="K275" s="8"/>
      <c r="L275" s="11">
        <v>11.2</v>
      </c>
      <c r="M275" s="11">
        <v>6.9</v>
      </c>
      <c r="N275" s="11">
        <v>11.2</v>
      </c>
      <c r="O275" s="11">
        <f>L275*4</f>
        <v>44.8</v>
      </c>
      <c r="P275" s="11">
        <f>M275*4</f>
        <v>27.6</v>
      </c>
      <c r="Q275" s="11">
        <f>N275*4</f>
        <v>44.8</v>
      </c>
      <c r="R275" s="12">
        <f>2/3*3.14*(Q275/2)^3</f>
        <v>23527.860906666661</v>
      </c>
      <c r="S275" s="12">
        <f>R275/1000</f>
        <v>23.52786090666666</v>
      </c>
    </row>
    <row r="276" spans="1:19" x14ac:dyDescent="0.25">
      <c r="A276" s="7">
        <v>275</v>
      </c>
      <c r="B276" s="8" t="s">
        <v>43</v>
      </c>
      <c r="C276" s="8" t="s">
        <v>221</v>
      </c>
      <c r="D276" s="7" t="s">
        <v>713</v>
      </c>
      <c r="E276" s="8" t="s">
        <v>743</v>
      </c>
      <c r="F276" s="9">
        <v>4</v>
      </c>
      <c r="G276" s="10" t="s">
        <v>33</v>
      </c>
      <c r="H276" s="8" t="s">
        <v>54</v>
      </c>
      <c r="I276" s="8" t="s">
        <v>55</v>
      </c>
      <c r="J276" s="8"/>
      <c r="K276" s="8"/>
      <c r="L276" s="11">
        <v>8</v>
      </c>
      <c r="M276" s="11">
        <v>5.3</v>
      </c>
      <c r="N276" s="11">
        <v>8</v>
      </c>
      <c r="O276" s="11">
        <f>L276*4</f>
        <v>32</v>
      </c>
      <c r="P276" s="11">
        <f>M276*4</f>
        <v>21.2</v>
      </c>
      <c r="Q276" s="11">
        <f>N276*4</f>
        <v>32</v>
      </c>
      <c r="R276" s="12">
        <f>2/3*3.14*(Q276/2)^3</f>
        <v>8574.2933333333331</v>
      </c>
      <c r="S276" s="12">
        <f>R276/1000</f>
        <v>8.5742933333333333</v>
      </c>
    </row>
    <row r="277" spans="1:19" x14ac:dyDescent="0.25">
      <c r="A277" s="7">
        <v>276</v>
      </c>
      <c r="B277" s="8" t="s">
        <v>43</v>
      </c>
      <c r="C277" s="8" t="s">
        <v>222</v>
      </c>
      <c r="D277" s="7" t="s">
        <v>713</v>
      </c>
      <c r="E277" s="8" t="s">
        <v>743</v>
      </c>
      <c r="F277" s="9">
        <v>4</v>
      </c>
      <c r="G277" s="10" t="s">
        <v>25</v>
      </c>
      <c r="H277" s="8" t="s">
        <v>54</v>
      </c>
      <c r="I277" s="8" t="s">
        <v>55</v>
      </c>
      <c r="J277" s="8"/>
      <c r="K277" s="8"/>
      <c r="L277" s="11">
        <v>7</v>
      </c>
      <c r="M277" s="11">
        <v>5.2</v>
      </c>
      <c r="N277" s="11">
        <v>7</v>
      </c>
      <c r="O277" s="11">
        <f>L277*4</f>
        <v>28</v>
      </c>
      <c r="P277" s="11">
        <f>M277*4</f>
        <v>20.8</v>
      </c>
      <c r="Q277" s="11">
        <f>N277*4</f>
        <v>28</v>
      </c>
      <c r="R277" s="12">
        <f>2/3*3.14*(Q277/2)^3</f>
        <v>5744.1066666666666</v>
      </c>
      <c r="S277" s="12">
        <f>R277/1000</f>
        <v>5.7441066666666662</v>
      </c>
    </row>
    <row r="278" spans="1:19" x14ac:dyDescent="0.25">
      <c r="A278" s="7">
        <v>277</v>
      </c>
      <c r="B278" s="8" t="s">
        <v>43</v>
      </c>
      <c r="C278" s="8" t="s">
        <v>223</v>
      </c>
      <c r="D278" s="7" t="s">
        <v>713</v>
      </c>
      <c r="E278" s="8" t="s">
        <v>743</v>
      </c>
      <c r="F278" s="9">
        <v>4</v>
      </c>
      <c r="G278" s="10" t="s">
        <v>25</v>
      </c>
      <c r="H278" s="8" t="s">
        <v>20</v>
      </c>
      <c r="I278" s="8" t="s">
        <v>21</v>
      </c>
      <c r="J278" s="8"/>
      <c r="K278" s="8"/>
      <c r="L278" s="11">
        <v>6.3</v>
      </c>
      <c r="M278" s="11">
        <v>4.3</v>
      </c>
      <c r="N278" s="11">
        <v>6.3</v>
      </c>
      <c r="O278" s="11">
        <f>L278*4</f>
        <v>25.2</v>
      </c>
      <c r="P278" s="11">
        <f>M278*4</f>
        <v>17.2</v>
      </c>
      <c r="Q278" s="11">
        <f>N278*4</f>
        <v>25.2</v>
      </c>
      <c r="R278" s="12">
        <f>2/3*3.14*(Q278/2)^3</f>
        <v>4187.4537599999994</v>
      </c>
      <c r="S278" s="12">
        <f>R278/1000</f>
        <v>4.1874537599999995</v>
      </c>
    </row>
    <row r="279" spans="1:19" x14ac:dyDescent="0.25">
      <c r="A279" s="7">
        <v>278</v>
      </c>
      <c r="B279" s="8" t="s">
        <v>43</v>
      </c>
      <c r="C279" s="8" t="s">
        <v>224</v>
      </c>
      <c r="D279" s="7" t="s">
        <v>713</v>
      </c>
      <c r="E279" s="8" t="s">
        <v>743</v>
      </c>
      <c r="F279" s="9">
        <v>4</v>
      </c>
      <c r="G279" s="10" t="s">
        <v>33</v>
      </c>
      <c r="H279" s="8" t="s">
        <v>20</v>
      </c>
      <c r="I279" s="8" t="s">
        <v>21</v>
      </c>
      <c r="J279" s="8"/>
      <c r="K279" s="8"/>
      <c r="L279" s="11">
        <v>9.5</v>
      </c>
      <c r="M279" s="11">
        <v>4.2</v>
      </c>
      <c r="N279" s="11">
        <v>9.5</v>
      </c>
      <c r="O279" s="11">
        <f>L279*4</f>
        <v>38</v>
      </c>
      <c r="P279" s="11">
        <f>M279*4</f>
        <v>16.8</v>
      </c>
      <c r="Q279" s="11">
        <f>N279*4</f>
        <v>38</v>
      </c>
      <c r="R279" s="12">
        <f>2/3*3.14*(Q279/2)^3</f>
        <v>14358.173333333332</v>
      </c>
      <c r="S279" s="12">
        <f>R279/1000</f>
        <v>14.358173333333331</v>
      </c>
    </row>
    <row r="280" spans="1:19" x14ac:dyDescent="0.25">
      <c r="A280" s="7">
        <v>279</v>
      </c>
      <c r="B280" s="8" t="s">
        <v>43</v>
      </c>
      <c r="C280" s="8" t="s">
        <v>225</v>
      </c>
      <c r="D280" s="7" t="s">
        <v>713</v>
      </c>
      <c r="E280" s="8" t="s">
        <v>743</v>
      </c>
      <c r="F280" s="9">
        <v>4</v>
      </c>
      <c r="G280" s="10" t="s">
        <v>33</v>
      </c>
      <c r="H280" s="8" t="s">
        <v>20</v>
      </c>
      <c r="I280" s="8" t="s">
        <v>21</v>
      </c>
      <c r="J280" s="8"/>
      <c r="K280" s="8"/>
      <c r="L280" s="11">
        <v>7.2</v>
      </c>
      <c r="M280" s="11">
        <v>4.9000000000000004</v>
      </c>
      <c r="N280" s="11">
        <v>7.2</v>
      </c>
      <c r="O280" s="11">
        <f>L280*4</f>
        <v>28.8</v>
      </c>
      <c r="P280" s="11">
        <f>M280*4</f>
        <v>19.600000000000001</v>
      </c>
      <c r="Q280" s="11">
        <f>N280*4</f>
        <v>28.8</v>
      </c>
      <c r="R280" s="12">
        <f>2/3*3.14*(Q280/2)^3</f>
        <v>6250.6598400000003</v>
      </c>
      <c r="S280" s="12">
        <f>R280/1000</f>
        <v>6.25065984</v>
      </c>
    </row>
    <row r="281" spans="1:19" x14ac:dyDescent="0.25">
      <c r="A281" s="7">
        <v>280</v>
      </c>
      <c r="B281" s="8" t="s">
        <v>43</v>
      </c>
      <c r="C281" s="8" t="s">
        <v>226</v>
      </c>
      <c r="D281" s="7" t="s">
        <v>713</v>
      </c>
      <c r="E281" s="8" t="s">
        <v>743</v>
      </c>
      <c r="F281" s="9">
        <v>4</v>
      </c>
      <c r="G281" s="10" t="s">
        <v>25</v>
      </c>
      <c r="H281" s="8" t="s">
        <v>54</v>
      </c>
      <c r="I281" s="8" t="s">
        <v>55</v>
      </c>
      <c r="J281" s="8"/>
      <c r="K281" s="8"/>
      <c r="L281" s="11">
        <v>7</v>
      </c>
      <c r="M281" s="11">
        <v>4.8</v>
      </c>
      <c r="N281" s="11">
        <v>7</v>
      </c>
      <c r="O281" s="11">
        <f>L281*4</f>
        <v>28</v>
      </c>
      <c r="P281" s="11">
        <f>M281*4</f>
        <v>19.2</v>
      </c>
      <c r="Q281" s="11">
        <f>N281*4</f>
        <v>28</v>
      </c>
      <c r="R281" s="12">
        <f>2/3*3.14*(Q281/2)^3</f>
        <v>5744.1066666666666</v>
      </c>
      <c r="S281" s="12">
        <f>R281/1000</f>
        <v>5.7441066666666662</v>
      </c>
    </row>
    <row r="282" spans="1:19" x14ac:dyDescent="0.25">
      <c r="A282" s="7">
        <v>281</v>
      </c>
      <c r="B282" s="8" t="s">
        <v>43</v>
      </c>
      <c r="C282" s="8" t="s">
        <v>227</v>
      </c>
      <c r="D282" s="7" t="s">
        <v>713</v>
      </c>
      <c r="E282" s="8" t="s">
        <v>743</v>
      </c>
      <c r="F282" s="9">
        <v>4</v>
      </c>
      <c r="G282" s="10" t="s">
        <v>33</v>
      </c>
      <c r="H282" s="8" t="s">
        <v>54</v>
      </c>
      <c r="I282" s="8" t="s">
        <v>55</v>
      </c>
      <c r="J282" s="8"/>
      <c r="K282" s="8"/>
      <c r="L282" s="11">
        <v>7.2</v>
      </c>
      <c r="M282" s="11">
        <v>4.5999999999999996</v>
      </c>
      <c r="N282" s="11">
        <v>7.2</v>
      </c>
      <c r="O282" s="11">
        <f>L282*4</f>
        <v>28.8</v>
      </c>
      <c r="P282" s="11">
        <f>M282*4</f>
        <v>18.399999999999999</v>
      </c>
      <c r="Q282" s="11">
        <f>N282*4</f>
        <v>28.8</v>
      </c>
      <c r="R282" s="12">
        <f>2/3*3.14*(Q282/2)^3</f>
        <v>6250.6598400000003</v>
      </c>
      <c r="S282" s="12">
        <f>R282/1000</f>
        <v>6.25065984</v>
      </c>
    </row>
    <row r="283" spans="1:19" x14ac:dyDescent="0.25">
      <c r="A283" s="7">
        <v>282</v>
      </c>
      <c r="B283" s="8" t="s">
        <v>43</v>
      </c>
      <c r="C283" s="8" t="s">
        <v>228</v>
      </c>
      <c r="D283" s="7" t="s">
        <v>713</v>
      </c>
      <c r="E283" s="8" t="s">
        <v>743</v>
      </c>
      <c r="F283" s="9">
        <v>4</v>
      </c>
      <c r="G283" s="10" t="s">
        <v>33</v>
      </c>
      <c r="H283" s="8" t="s">
        <v>115</v>
      </c>
      <c r="I283" s="8" t="s">
        <v>21</v>
      </c>
      <c r="J283" s="8"/>
      <c r="K283" s="8"/>
      <c r="L283" s="11">
        <v>10.4</v>
      </c>
      <c r="M283" s="11">
        <v>5.4</v>
      </c>
      <c r="N283" s="11">
        <v>10.4</v>
      </c>
      <c r="O283" s="11">
        <f>L283*4</f>
        <v>41.6</v>
      </c>
      <c r="P283" s="11">
        <f>M283*4</f>
        <v>21.6</v>
      </c>
      <c r="Q283" s="11">
        <f>N283*4</f>
        <v>41.6</v>
      </c>
      <c r="R283" s="12">
        <f>2/3*3.14*(Q283/2)^3</f>
        <v>18837.722453333336</v>
      </c>
      <c r="S283" s="12">
        <f>R283/1000</f>
        <v>18.837722453333335</v>
      </c>
    </row>
    <row r="284" spans="1:19" x14ac:dyDescent="0.25">
      <c r="A284" s="7">
        <v>283</v>
      </c>
      <c r="B284" s="8" t="s">
        <v>43</v>
      </c>
      <c r="C284" s="8" t="s">
        <v>229</v>
      </c>
      <c r="D284" s="7" t="s">
        <v>713</v>
      </c>
      <c r="E284" s="8" t="s">
        <v>743</v>
      </c>
      <c r="F284" s="9">
        <v>4</v>
      </c>
      <c r="G284" s="10" t="s">
        <v>33</v>
      </c>
      <c r="H284" s="8" t="s">
        <v>54</v>
      </c>
      <c r="I284" s="8" t="s">
        <v>55</v>
      </c>
      <c r="J284" s="8"/>
      <c r="K284" s="8"/>
      <c r="L284" s="11">
        <v>8.5</v>
      </c>
      <c r="M284" s="11">
        <v>4.3</v>
      </c>
      <c r="N284" s="11">
        <v>8.5</v>
      </c>
      <c r="O284" s="11">
        <f>L284*4</f>
        <v>34</v>
      </c>
      <c r="P284" s="11">
        <f>M284*4</f>
        <v>17.2</v>
      </c>
      <c r="Q284" s="11">
        <f>N284*4</f>
        <v>34</v>
      </c>
      <c r="R284" s="12">
        <f>2/3*3.14*(Q284/2)^3</f>
        <v>10284.546666666667</v>
      </c>
      <c r="S284" s="12">
        <f>R284/1000</f>
        <v>10.284546666666667</v>
      </c>
    </row>
    <row r="285" spans="1:19" x14ac:dyDescent="0.25">
      <c r="A285" s="7">
        <v>284</v>
      </c>
      <c r="B285" s="8" t="s">
        <v>43</v>
      </c>
      <c r="C285" s="8" t="s">
        <v>230</v>
      </c>
      <c r="D285" s="7" t="s">
        <v>713</v>
      </c>
      <c r="E285" s="8" t="s">
        <v>743</v>
      </c>
      <c r="F285" s="9">
        <v>4</v>
      </c>
      <c r="G285" s="10" t="s">
        <v>33</v>
      </c>
      <c r="H285" s="8" t="s">
        <v>54</v>
      </c>
      <c r="I285" s="8" t="s">
        <v>55</v>
      </c>
      <c r="J285" s="8"/>
      <c r="K285" s="8"/>
      <c r="L285" s="11">
        <v>8.3000000000000007</v>
      </c>
      <c r="M285" s="11">
        <v>5.8</v>
      </c>
      <c r="N285" s="11">
        <v>8.3000000000000007</v>
      </c>
      <c r="O285" s="11">
        <f>L285*4</f>
        <v>33.200000000000003</v>
      </c>
      <c r="P285" s="11">
        <f>M285*4</f>
        <v>23.2</v>
      </c>
      <c r="Q285" s="11">
        <f>N285*4</f>
        <v>33.200000000000003</v>
      </c>
      <c r="R285" s="12">
        <f>2/3*3.14*(Q285/2)^3</f>
        <v>9575.5262933333361</v>
      </c>
      <c r="S285" s="12">
        <f>R285/1000</f>
        <v>9.5755262933333363</v>
      </c>
    </row>
    <row r="286" spans="1:19" x14ac:dyDescent="0.25">
      <c r="A286" s="7">
        <v>285</v>
      </c>
      <c r="B286" s="8" t="s">
        <v>43</v>
      </c>
      <c r="C286" s="8" t="s">
        <v>44</v>
      </c>
      <c r="D286" s="7" t="s">
        <v>713</v>
      </c>
      <c r="E286" s="8" t="s">
        <v>743</v>
      </c>
      <c r="F286" s="9">
        <v>1</v>
      </c>
      <c r="G286" s="10" t="s">
        <v>25</v>
      </c>
      <c r="H286" s="8" t="s">
        <v>45</v>
      </c>
      <c r="I286" s="8" t="s">
        <v>21</v>
      </c>
      <c r="J286" s="8"/>
      <c r="K286" s="8"/>
      <c r="L286" s="11">
        <v>7.9</v>
      </c>
      <c r="M286" s="11">
        <v>1.8</v>
      </c>
      <c r="N286" s="11">
        <v>7.9</v>
      </c>
      <c r="O286" s="11">
        <f>L286*4</f>
        <v>31.6</v>
      </c>
      <c r="P286" s="11">
        <f>M286*4</f>
        <v>7.2</v>
      </c>
      <c r="Q286" s="11">
        <f>N286*4</f>
        <v>31.6</v>
      </c>
      <c r="R286" s="12">
        <f>(1/3)*3.14*P286^2*(3*(Q286/2)-P286)</f>
        <v>2181.2198400000002</v>
      </c>
      <c r="S286" s="12">
        <f>R286/1000</f>
        <v>2.1812198400000002</v>
      </c>
    </row>
    <row r="287" spans="1:19" x14ac:dyDescent="0.25">
      <c r="A287" s="7">
        <v>286</v>
      </c>
      <c r="B287" s="8" t="s">
        <v>43</v>
      </c>
      <c r="C287" s="8" t="s">
        <v>46</v>
      </c>
      <c r="D287" s="7" t="s">
        <v>713</v>
      </c>
      <c r="E287" s="8" t="s">
        <v>743</v>
      </c>
      <c r="F287" s="9">
        <v>1</v>
      </c>
      <c r="G287" s="10" t="s">
        <v>19</v>
      </c>
      <c r="H287" s="8" t="s">
        <v>20</v>
      </c>
      <c r="I287" s="8" t="s">
        <v>21</v>
      </c>
      <c r="J287" s="8"/>
      <c r="K287" s="8"/>
      <c r="L287" s="11">
        <v>5.8</v>
      </c>
      <c r="M287" s="11">
        <v>1.4</v>
      </c>
      <c r="N287" s="11">
        <v>5.8</v>
      </c>
      <c r="O287" s="11">
        <f>L287*4</f>
        <v>23.2</v>
      </c>
      <c r="P287" s="11">
        <f>M287*4</f>
        <v>5.6</v>
      </c>
      <c r="Q287" s="11">
        <f>N287*4</f>
        <v>23.2</v>
      </c>
      <c r="R287" s="12">
        <f>(1/3)*3.14*P287^2*(3*(Q287/2)-P287)</f>
        <v>958.44522666666637</v>
      </c>
      <c r="S287" s="12">
        <f>R287/1000</f>
        <v>0.95844522666666632</v>
      </c>
    </row>
    <row r="288" spans="1:19" x14ac:dyDescent="0.25">
      <c r="A288" s="7">
        <v>287</v>
      </c>
      <c r="B288" s="8" t="s">
        <v>43</v>
      </c>
      <c r="C288" s="8" t="s">
        <v>47</v>
      </c>
      <c r="D288" s="7" t="s">
        <v>713</v>
      </c>
      <c r="E288" s="8" t="s">
        <v>743</v>
      </c>
      <c r="F288" s="9">
        <v>1</v>
      </c>
      <c r="G288" s="10" t="s">
        <v>25</v>
      </c>
      <c r="H288" s="8" t="s">
        <v>20</v>
      </c>
      <c r="I288" s="8" t="s">
        <v>21</v>
      </c>
      <c r="J288" s="8"/>
      <c r="K288" s="8"/>
      <c r="L288" s="11">
        <v>6</v>
      </c>
      <c r="M288" s="11">
        <v>1.6</v>
      </c>
      <c r="N288" s="11">
        <v>6</v>
      </c>
      <c r="O288" s="11">
        <f>L288*4</f>
        <v>24</v>
      </c>
      <c r="P288" s="11">
        <f>M288*4</f>
        <v>6.4</v>
      </c>
      <c r="Q288" s="11">
        <f>N288*4</f>
        <v>24</v>
      </c>
      <c r="R288" s="12">
        <f>(1/3)*3.14*P288^2*(3*(Q288/2)-P288)</f>
        <v>1268.9954133333335</v>
      </c>
      <c r="S288" s="12">
        <f>R288/1000</f>
        <v>1.2689954133333337</v>
      </c>
    </row>
    <row r="289" spans="1:19" x14ac:dyDescent="0.25">
      <c r="A289" s="7">
        <v>288</v>
      </c>
      <c r="B289" s="8" t="s">
        <v>43</v>
      </c>
      <c r="C289" s="8" t="s">
        <v>48</v>
      </c>
      <c r="D289" s="7" t="s">
        <v>713</v>
      </c>
      <c r="E289" s="8" t="s">
        <v>743</v>
      </c>
      <c r="F289" s="9">
        <v>1</v>
      </c>
      <c r="G289" s="10" t="s">
        <v>25</v>
      </c>
      <c r="H289" s="8" t="s">
        <v>20</v>
      </c>
      <c r="I289" s="8" t="s">
        <v>21</v>
      </c>
      <c r="J289" s="8"/>
      <c r="K289" s="8"/>
      <c r="L289" s="11">
        <v>9.1999999999999993</v>
      </c>
      <c r="M289" s="11">
        <v>2.4</v>
      </c>
      <c r="N289" s="11">
        <v>9.1999999999999993</v>
      </c>
      <c r="O289" s="11">
        <f>L289*4</f>
        <v>36.799999999999997</v>
      </c>
      <c r="P289" s="11">
        <f>M289*4</f>
        <v>9.6</v>
      </c>
      <c r="Q289" s="11">
        <f>N289*4</f>
        <v>36.799999999999997</v>
      </c>
      <c r="R289" s="12">
        <f>(1/3)*3.14*P289^2*(3*(Q289/2)-P289)</f>
        <v>4398.6124799999989</v>
      </c>
      <c r="S289" s="12">
        <f>R289/1000</f>
        <v>4.3986124799999988</v>
      </c>
    </row>
    <row r="290" spans="1:19" x14ac:dyDescent="0.25">
      <c r="A290" s="7">
        <v>289</v>
      </c>
      <c r="B290" s="8" t="s">
        <v>43</v>
      </c>
      <c r="C290" s="8" t="s">
        <v>49</v>
      </c>
      <c r="D290" s="7" t="s">
        <v>713</v>
      </c>
      <c r="E290" s="8" t="s">
        <v>743</v>
      </c>
      <c r="F290" s="9">
        <v>1</v>
      </c>
      <c r="G290" s="10" t="s">
        <v>19</v>
      </c>
      <c r="H290" s="8" t="s">
        <v>20</v>
      </c>
      <c r="I290" s="8" t="s">
        <v>21</v>
      </c>
      <c r="J290" s="8"/>
      <c r="K290" s="8"/>
      <c r="L290" s="11">
        <v>5.0999999999999996</v>
      </c>
      <c r="M290" s="11">
        <v>1.5</v>
      </c>
      <c r="N290" s="11">
        <v>5.0999999999999996</v>
      </c>
      <c r="O290" s="11">
        <f>L290*4</f>
        <v>20.399999999999999</v>
      </c>
      <c r="P290" s="11">
        <f>M290*4</f>
        <v>6</v>
      </c>
      <c r="Q290" s="11">
        <f>N290*4</f>
        <v>20.399999999999999</v>
      </c>
      <c r="R290" s="12">
        <f>(1/3)*3.14*P290^2*(3*(Q290/2)-P290)</f>
        <v>926.92799999999988</v>
      </c>
      <c r="S290" s="12">
        <f>R290/1000</f>
        <v>0.92692799999999986</v>
      </c>
    </row>
    <row r="291" spans="1:19" x14ac:dyDescent="0.25">
      <c r="A291" s="7">
        <v>290</v>
      </c>
      <c r="B291" s="8" t="s">
        <v>43</v>
      </c>
      <c r="C291" s="8" t="s">
        <v>50</v>
      </c>
      <c r="D291" s="7" t="s">
        <v>713</v>
      </c>
      <c r="E291" s="8" t="s">
        <v>743</v>
      </c>
      <c r="F291" s="9">
        <v>1</v>
      </c>
      <c r="G291" s="10" t="s">
        <v>19</v>
      </c>
      <c r="H291" s="8" t="s">
        <v>20</v>
      </c>
      <c r="I291" s="8" t="s">
        <v>21</v>
      </c>
      <c r="J291" s="8"/>
      <c r="K291" s="8"/>
      <c r="L291" s="11">
        <v>3.5</v>
      </c>
      <c r="M291" s="11">
        <v>1.1000000000000001</v>
      </c>
      <c r="N291" s="11">
        <v>3.5</v>
      </c>
      <c r="O291" s="11">
        <f>L291*4</f>
        <v>14</v>
      </c>
      <c r="P291" s="11">
        <f>M291*4</f>
        <v>4.4000000000000004</v>
      </c>
      <c r="Q291" s="11">
        <f>N291*4</f>
        <v>14</v>
      </c>
      <c r="R291" s="12">
        <f>(1/3)*3.14*P291^2*(3*(Q291/2)-P291)</f>
        <v>336.37354666666675</v>
      </c>
      <c r="S291" s="12">
        <f>R291/1000</f>
        <v>0.33637354666666675</v>
      </c>
    </row>
    <row r="292" spans="1:19" x14ac:dyDescent="0.25">
      <c r="A292" s="7">
        <v>291</v>
      </c>
      <c r="B292" s="8" t="s">
        <v>43</v>
      </c>
      <c r="C292" s="8" t="s">
        <v>51</v>
      </c>
      <c r="D292" s="7" t="s">
        <v>713</v>
      </c>
      <c r="E292" s="8" t="s">
        <v>743</v>
      </c>
      <c r="F292" s="9">
        <v>1</v>
      </c>
      <c r="G292" s="10" t="s">
        <v>19</v>
      </c>
      <c r="H292" s="8" t="s">
        <v>20</v>
      </c>
      <c r="I292" s="8" t="s">
        <v>21</v>
      </c>
      <c r="J292" s="8"/>
      <c r="K292" s="8"/>
      <c r="L292" s="11">
        <v>4.5</v>
      </c>
      <c r="M292" s="11">
        <v>1.4</v>
      </c>
      <c r="N292" s="11">
        <v>4.5</v>
      </c>
      <c r="O292" s="11">
        <f>L292*4</f>
        <v>18</v>
      </c>
      <c r="P292" s="11">
        <f>M292*4</f>
        <v>5.6</v>
      </c>
      <c r="Q292" s="11">
        <f>N292*4</f>
        <v>18</v>
      </c>
      <c r="R292" s="12">
        <f>(1/3)*3.14*P292^2*(3*(Q292/2)-P292)</f>
        <v>702.42218666666645</v>
      </c>
      <c r="S292" s="12">
        <f>R292/1000</f>
        <v>0.70242218666666645</v>
      </c>
    </row>
    <row r="293" spans="1:19" x14ac:dyDescent="0.25">
      <c r="A293" s="7">
        <v>292</v>
      </c>
      <c r="B293" s="8" t="s">
        <v>43</v>
      </c>
      <c r="C293" s="8" t="s">
        <v>52</v>
      </c>
      <c r="D293" s="7" t="s">
        <v>713</v>
      </c>
      <c r="E293" s="8" t="s">
        <v>743</v>
      </c>
      <c r="F293" s="9">
        <v>1</v>
      </c>
      <c r="G293" s="10" t="s">
        <v>25</v>
      </c>
      <c r="H293" s="8" t="s">
        <v>20</v>
      </c>
      <c r="I293" s="8" t="s">
        <v>21</v>
      </c>
      <c r="J293" s="8"/>
      <c r="K293" s="8"/>
      <c r="L293" s="11">
        <v>6.2</v>
      </c>
      <c r="M293" s="11">
        <v>1.9</v>
      </c>
      <c r="N293" s="11">
        <v>6.2</v>
      </c>
      <c r="O293" s="11">
        <f>L293*4</f>
        <v>24.8</v>
      </c>
      <c r="P293" s="11">
        <f>M293*4</f>
        <v>7.6</v>
      </c>
      <c r="Q293" s="11">
        <f>N293*4</f>
        <v>24.8</v>
      </c>
      <c r="R293" s="12">
        <f>(1/3)*3.14*P293^2*(3*(Q293/2)-P293)</f>
        <v>1789.4818133333333</v>
      </c>
      <c r="S293" s="12">
        <f>R293/1000</f>
        <v>1.7894818133333332</v>
      </c>
    </row>
    <row r="294" spans="1:19" x14ac:dyDescent="0.25">
      <c r="A294" s="7">
        <v>293</v>
      </c>
      <c r="B294" s="8" t="s">
        <v>43</v>
      </c>
      <c r="C294" s="8" t="s">
        <v>53</v>
      </c>
      <c r="D294" s="7" t="s">
        <v>713</v>
      </c>
      <c r="E294" s="8" t="s">
        <v>743</v>
      </c>
      <c r="F294" s="9">
        <v>1</v>
      </c>
      <c r="G294" s="10" t="s">
        <v>19</v>
      </c>
      <c r="H294" s="8" t="s">
        <v>54</v>
      </c>
      <c r="I294" s="8" t="s">
        <v>55</v>
      </c>
      <c r="J294" s="8"/>
      <c r="K294" s="8"/>
      <c r="L294" s="11">
        <v>4.5</v>
      </c>
      <c r="M294" s="11">
        <v>1.3</v>
      </c>
      <c r="N294" s="11">
        <v>4.5</v>
      </c>
      <c r="O294" s="11">
        <f>L294*4</f>
        <v>18</v>
      </c>
      <c r="P294" s="11">
        <f>M294*4</f>
        <v>5.2</v>
      </c>
      <c r="Q294" s="11">
        <f>N294*4</f>
        <v>18</v>
      </c>
      <c r="R294" s="12">
        <f>(1/3)*3.14*P294^2*(3*(Q294/2)-P294)</f>
        <v>616.98069333333342</v>
      </c>
      <c r="S294" s="12">
        <f>R294/1000</f>
        <v>0.61698069333333339</v>
      </c>
    </row>
    <row r="295" spans="1:19" x14ac:dyDescent="0.25">
      <c r="A295" s="7">
        <v>294</v>
      </c>
      <c r="B295" s="8" t="s">
        <v>43</v>
      </c>
      <c r="C295" s="8" t="s">
        <v>56</v>
      </c>
      <c r="D295" s="7" t="s">
        <v>713</v>
      </c>
      <c r="E295" s="8" t="s">
        <v>743</v>
      </c>
      <c r="F295" s="9">
        <v>1</v>
      </c>
      <c r="G295" s="10" t="s">
        <v>25</v>
      </c>
      <c r="H295" s="8" t="s">
        <v>20</v>
      </c>
      <c r="I295" s="8" t="s">
        <v>21</v>
      </c>
      <c r="J295" s="8"/>
      <c r="K295" s="8"/>
      <c r="L295" s="11">
        <v>8.5</v>
      </c>
      <c r="M295" s="11">
        <v>1.2</v>
      </c>
      <c r="N295" s="11">
        <v>8.5</v>
      </c>
      <c r="O295" s="11">
        <f>L295*4</f>
        <v>34</v>
      </c>
      <c r="P295" s="11">
        <f>M295*4</f>
        <v>4.8</v>
      </c>
      <c r="Q295" s="11">
        <f>N295*4</f>
        <v>34</v>
      </c>
      <c r="R295" s="12">
        <f>(1/3)*3.14*P295^2*(3*(Q295/2)-P295)</f>
        <v>1114.1222399999999</v>
      </c>
      <c r="S295" s="12">
        <f>R295/1000</f>
        <v>1.1141222399999999</v>
      </c>
    </row>
    <row r="296" spans="1:19" x14ac:dyDescent="0.25">
      <c r="A296" s="7">
        <v>295</v>
      </c>
      <c r="B296" s="8" t="s">
        <v>43</v>
      </c>
      <c r="C296" s="8" t="s">
        <v>57</v>
      </c>
      <c r="D296" s="7" t="s">
        <v>713</v>
      </c>
      <c r="E296" s="8" t="s">
        <v>743</v>
      </c>
      <c r="F296" s="9">
        <v>1</v>
      </c>
      <c r="G296" s="10" t="s">
        <v>19</v>
      </c>
      <c r="H296" s="8" t="s">
        <v>20</v>
      </c>
      <c r="I296" s="8" t="s">
        <v>21</v>
      </c>
      <c r="J296" s="8"/>
      <c r="K296" s="8"/>
      <c r="L296" s="11">
        <v>5.2</v>
      </c>
      <c r="M296" s="11">
        <v>1.2</v>
      </c>
      <c r="N296" s="11">
        <v>5.2</v>
      </c>
      <c r="O296" s="11">
        <f>L296*4</f>
        <v>20.8</v>
      </c>
      <c r="P296" s="11">
        <f>M296*4</f>
        <v>4.8</v>
      </c>
      <c r="Q296" s="11">
        <f>N296*4</f>
        <v>20.8</v>
      </c>
      <c r="R296" s="12">
        <f>(1/3)*3.14*P296^2*(3*(Q296/2)-P296)</f>
        <v>636.64128000000005</v>
      </c>
      <c r="S296" s="12">
        <f>R296/1000</f>
        <v>0.63664128000000009</v>
      </c>
    </row>
    <row r="297" spans="1:19" x14ac:dyDescent="0.25">
      <c r="A297" s="7">
        <v>296</v>
      </c>
      <c r="B297" s="8" t="s">
        <v>43</v>
      </c>
      <c r="C297" s="8" t="s">
        <v>58</v>
      </c>
      <c r="D297" s="7" t="s">
        <v>713</v>
      </c>
      <c r="E297" s="8" t="s">
        <v>743</v>
      </c>
      <c r="F297" s="9">
        <v>1</v>
      </c>
      <c r="G297" s="10" t="s">
        <v>25</v>
      </c>
      <c r="H297" s="8" t="s">
        <v>20</v>
      </c>
      <c r="I297" s="8" t="s">
        <v>21</v>
      </c>
      <c r="J297" s="8"/>
      <c r="K297" s="8"/>
      <c r="L297" s="11">
        <v>9.5</v>
      </c>
      <c r="M297" s="11">
        <v>2.4</v>
      </c>
      <c r="N297" s="11">
        <v>9.5</v>
      </c>
      <c r="O297" s="11">
        <f>L297*4</f>
        <v>38</v>
      </c>
      <c r="P297" s="11">
        <f>M297*4</f>
        <v>9.6</v>
      </c>
      <c r="Q297" s="11">
        <f>N297*4</f>
        <v>38</v>
      </c>
      <c r="R297" s="12">
        <f>(1/3)*3.14*P297^2*(3*(Q297/2)-P297)</f>
        <v>4572.2419199999995</v>
      </c>
      <c r="S297" s="12">
        <f>R297/1000</f>
        <v>4.5722419199999997</v>
      </c>
    </row>
    <row r="298" spans="1:19" x14ac:dyDescent="0.25">
      <c r="A298" s="7">
        <v>297</v>
      </c>
      <c r="B298" s="8" t="s">
        <v>43</v>
      </c>
      <c r="C298" s="8" t="s">
        <v>59</v>
      </c>
      <c r="D298" s="7" t="s">
        <v>713</v>
      </c>
      <c r="E298" s="8" t="s">
        <v>743</v>
      </c>
      <c r="F298" s="9">
        <v>1</v>
      </c>
      <c r="G298" s="10" t="s">
        <v>25</v>
      </c>
      <c r="H298" s="8" t="s">
        <v>60</v>
      </c>
      <c r="I298" s="8" t="s">
        <v>61</v>
      </c>
      <c r="J298" s="8"/>
      <c r="K298" s="8"/>
      <c r="L298" s="11">
        <v>11.4</v>
      </c>
      <c r="M298" s="11">
        <v>2.2999999999999998</v>
      </c>
      <c r="N298" s="11">
        <v>11.4</v>
      </c>
      <c r="O298" s="11">
        <f>L298*4</f>
        <v>45.6</v>
      </c>
      <c r="P298" s="11">
        <f>M298*4</f>
        <v>9.1999999999999993</v>
      </c>
      <c r="Q298" s="11">
        <f>N298*4</f>
        <v>45.6</v>
      </c>
      <c r="R298" s="12">
        <f>(1/3)*3.14*P298^2*(3*(Q298/2)-P298)</f>
        <v>5244.5201066666659</v>
      </c>
      <c r="S298" s="12">
        <f>R298/1000</f>
        <v>5.2445201066666662</v>
      </c>
    </row>
    <row r="299" spans="1:19" x14ac:dyDescent="0.25">
      <c r="A299" s="7">
        <v>298</v>
      </c>
      <c r="B299" s="8" t="s">
        <v>43</v>
      </c>
      <c r="C299" s="8" t="s">
        <v>62</v>
      </c>
      <c r="D299" s="7" t="s">
        <v>713</v>
      </c>
      <c r="E299" s="8" t="s">
        <v>743</v>
      </c>
      <c r="F299" s="9">
        <v>1</v>
      </c>
      <c r="G299" s="10" t="s">
        <v>25</v>
      </c>
      <c r="H299" s="8" t="s">
        <v>60</v>
      </c>
      <c r="I299" s="8" t="s">
        <v>61</v>
      </c>
      <c r="J299" s="8"/>
      <c r="K299" s="8"/>
      <c r="L299" s="11">
        <v>8</v>
      </c>
      <c r="M299" s="11">
        <v>2.2000000000000002</v>
      </c>
      <c r="N299" s="11">
        <v>8</v>
      </c>
      <c r="O299" s="11">
        <f>L299*4</f>
        <v>32</v>
      </c>
      <c r="P299" s="11">
        <f>M299*4</f>
        <v>8.8000000000000007</v>
      </c>
      <c r="Q299" s="11">
        <f>N299*4</f>
        <v>32</v>
      </c>
      <c r="R299" s="12">
        <f>(1/3)*3.14*P299^2*(3*(Q299/2)-P299)</f>
        <v>3177.3115733333339</v>
      </c>
      <c r="S299" s="12">
        <f>R299/1000</f>
        <v>3.1773115733333337</v>
      </c>
    </row>
    <row r="300" spans="1:19" x14ac:dyDescent="0.25">
      <c r="A300" s="7">
        <v>299</v>
      </c>
      <c r="B300" s="8" t="s">
        <v>43</v>
      </c>
      <c r="C300" s="8" t="s">
        <v>63</v>
      </c>
      <c r="D300" s="7" t="s">
        <v>713</v>
      </c>
      <c r="E300" s="8" t="s">
        <v>743</v>
      </c>
      <c r="F300" s="9">
        <v>1</v>
      </c>
      <c r="G300" s="10" t="s">
        <v>19</v>
      </c>
      <c r="H300" s="8" t="s">
        <v>54</v>
      </c>
      <c r="I300" s="8" t="s">
        <v>55</v>
      </c>
      <c r="J300" s="8"/>
      <c r="K300" s="8"/>
      <c r="L300" s="11">
        <v>5.2</v>
      </c>
      <c r="M300" s="11">
        <v>1.4</v>
      </c>
      <c r="N300" s="11">
        <v>5.2</v>
      </c>
      <c r="O300" s="11">
        <f>L300*4</f>
        <v>20.8</v>
      </c>
      <c r="P300" s="11">
        <f>M300*4</f>
        <v>5.6</v>
      </c>
      <c r="Q300" s="11">
        <f>N300*4</f>
        <v>20.8</v>
      </c>
      <c r="R300" s="12">
        <f>(1/3)*3.14*P300^2*(3*(Q300/2)-P300)</f>
        <v>840.28074666666657</v>
      </c>
      <c r="S300" s="12">
        <f>R300/1000</f>
        <v>0.84028074666666652</v>
      </c>
    </row>
    <row r="301" spans="1:19" x14ac:dyDescent="0.25">
      <c r="A301" s="7">
        <v>300</v>
      </c>
      <c r="B301" s="8" t="s">
        <v>43</v>
      </c>
      <c r="C301" s="8" t="s">
        <v>64</v>
      </c>
      <c r="D301" s="7" t="s">
        <v>713</v>
      </c>
      <c r="E301" s="8" t="s">
        <v>743</v>
      </c>
      <c r="F301" s="9">
        <v>1</v>
      </c>
      <c r="G301" s="10" t="s">
        <v>25</v>
      </c>
      <c r="H301" s="8" t="s">
        <v>20</v>
      </c>
      <c r="I301" s="8" t="s">
        <v>21</v>
      </c>
      <c r="J301" s="8"/>
      <c r="K301" s="8"/>
      <c r="L301" s="11">
        <v>7.5</v>
      </c>
      <c r="M301" s="11">
        <v>1.9</v>
      </c>
      <c r="N301" s="11">
        <v>7.5</v>
      </c>
      <c r="O301" s="11">
        <f>L301*4</f>
        <v>30</v>
      </c>
      <c r="P301" s="11">
        <f>M301*4</f>
        <v>7.6</v>
      </c>
      <c r="Q301" s="11">
        <f>N301*4</f>
        <v>30</v>
      </c>
      <c r="R301" s="12">
        <f>(1/3)*3.14*P301^2*(3*(Q301/2)-P301)</f>
        <v>2261.0344533333332</v>
      </c>
      <c r="S301" s="12">
        <f>R301/1000</f>
        <v>2.2610344533333331</v>
      </c>
    </row>
    <row r="302" spans="1:19" x14ac:dyDescent="0.25">
      <c r="A302" s="7">
        <v>301</v>
      </c>
      <c r="B302" s="8" t="s">
        <v>43</v>
      </c>
      <c r="C302" s="8" t="s">
        <v>65</v>
      </c>
      <c r="D302" s="7" t="s">
        <v>713</v>
      </c>
      <c r="E302" s="8" t="s">
        <v>743</v>
      </c>
      <c r="F302" s="9">
        <v>1</v>
      </c>
      <c r="G302" s="10" t="s">
        <v>25</v>
      </c>
      <c r="H302" s="8" t="s">
        <v>20</v>
      </c>
      <c r="I302" s="8" t="s">
        <v>21</v>
      </c>
      <c r="J302" s="8"/>
      <c r="K302" s="8"/>
      <c r="L302" s="11">
        <v>7.4</v>
      </c>
      <c r="M302" s="11">
        <v>1.7</v>
      </c>
      <c r="N302" s="11">
        <v>7.4</v>
      </c>
      <c r="O302" s="11">
        <f>L302*4</f>
        <v>29.6</v>
      </c>
      <c r="P302" s="11">
        <f>M302*4</f>
        <v>6.8</v>
      </c>
      <c r="Q302" s="11">
        <f>N302*4</f>
        <v>29.6</v>
      </c>
      <c r="R302" s="12">
        <f>(1/3)*3.14*P302^2*(3*(Q302/2)-P302)</f>
        <v>1819.7597866666667</v>
      </c>
      <c r="S302" s="12">
        <f>R302/1000</f>
        <v>1.8197597866666668</v>
      </c>
    </row>
    <row r="303" spans="1:19" x14ac:dyDescent="0.25">
      <c r="A303" s="7">
        <v>302</v>
      </c>
      <c r="B303" s="8" t="s">
        <v>43</v>
      </c>
      <c r="C303" s="8" t="s">
        <v>66</v>
      </c>
      <c r="D303" s="7" t="s">
        <v>713</v>
      </c>
      <c r="E303" s="8" t="s">
        <v>743</v>
      </c>
      <c r="F303" s="9">
        <v>1</v>
      </c>
      <c r="G303" s="10" t="s">
        <v>19</v>
      </c>
      <c r="H303" s="8" t="s">
        <v>20</v>
      </c>
      <c r="I303" s="8" t="s">
        <v>21</v>
      </c>
      <c r="J303" s="8"/>
      <c r="K303" s="8"/>
      <c r="L303" s="11">
        <v>5.5</v>
      </c>
      <c r="M303" s="11">
        <v>1.3</v>
      </c>
      <c r="N303" s="11">
        <v>5.5</v>
      </c>
      <c r="O303" s="11">
        <f>L303*4</f>
        <v>22</v>
      </c>
      <c r="P303" s="11">
        <f>M303*4</f>
        <v>5.2</v>
      </c>
      <c r="Q303" s="11">
        <f>N303*4</f>
        <v>22</v>
      </c>
      <c r="R303" s="12">
        <f>(1/3)*3.14*P303^2*(3*(Q303/2)-P303)</f>
        <v>786.79189333333341</v>
      </c>
      <c r="S303" s="12">
        <f>R303/1000</f>
        <v>0.78679189333333344</v>
      </c>
    </row>
    <row r="304" spans="1:19" x14ac:dyDescent="0.25">
      <c r="A304" s="7">
        <v>303</v>
      </c>
      <c r="B304" s="8" t="s">
        <v>43</v>
      </c>
      <c r="C304" s="8" t="s">
        <v>67</v>
      </c>
      <c r="D304" s="7" t="s">
        <v>713</v>
      </c>
      <c r="E304" s="8" t="s">
        <v>743</v>
      </c>
      <c r="F304" s="9">
        <v>1</v>
      </c>
      <c r="G304" s="10" t="s">
        <v>25</v>
      </c>
      <c r="H304" s="8" t="s">
        <v>20</v>
      </c>
      <c r="I304" s="8" t="s">
        <v>21</v>
      </c>
      <c r="J304" s="8"/>
      <c r="K304" s="8"/>
      <c r="L304" s="11">
        <v>6.2</v>
      </c>
      <c r="M304" s="11">
        <v>1.5</v>
      </c>
      <c r="N304" s="11">
        <v>6.2</v>
      </c>
      <c r="O304" s="11">
        <f>L304*4</f>
        <v>24.8</v>
      </c>
      <c r="P304" s="11">
        <f>M304*4</f>
        <v>6</v>
      </c>
      <c r="Q304" s="11">
        <f>N304*4</f>
        <v>24.8</v>
      </c>
      <c r="R304" s="12">
        <f>(1/3)*3.14*P304^2*(3*(Q304/2)-P304)</f>
        <v>1175.616</v>
      </c>
      <c r="S304" s="12">
        <f>R304/1000</f>
        <v>1.175616</v>
      </c>
    </row>
    <row r="305" spans="1:19" x14ac:dyDescent="0.25">
      <c r="A305" s="7">
        <v>304</v>
      </c>
      <c r="B305" s="8" t="s">
        <v>43</v>
      </c>
      <c r="C305" s="8" t="s">
        <v>68</v>
      </c>
      <c r="D305" s="7" t="s">
        <v>713</v>
      </c>
      <c r="E305" s="8" t="s">
        <v>743</v>
      </c>
      <c r="F305" s="9">
        <v>1</v>
      </c>
      <c r="G305" s="10" t="s">
        <v>19</v>
      </c>
      <c r="H305" s="8" t="s">
        <v>20</v>
      </c>
      <c r="I305" s="8" t="s">
        <v>21</v>
      </c>
      <c r="J305" s="8"/>
      <c r="K305" s="8"/>
      <c r="L305" s="11">
        <v>3</v>
      </c>
      <c r="M305" s="11">
        <v>1.3</v>
      </c>
      <c r="N305" s="11">
        <v>3</v>
      </c>
      <c r="O305" s="11">
        <f>L305*4</f>
        <v>12</v>
      </c>
      <c r="P305" s="11">
        <f>M305*4</f>
        <v>5.2</v>
      </c>
      <c r="Q305" s="11">
        <f>N305*4</f>
        <v>12</v>
      </c>
      <c r="R305" s="12">
        <f>(1/3)*3.14*P305^2*(3*(Q305/2)-P305)</f>
        <v>362.26389333333339</v>
      </c>
      <c r="S305" s="12">
        <f>R305/1000</f>
        <v>0.36226389333333336</v>
      </c>
    </row>
    <row r="306" spans="1:19" x14ac:dyDescent="0.25">
      <c r="A306" s="7">
        <v>305</v>
      </c>
      <c r="B306" s="8" t="s">
        <v>43</v>
      </c>
      <c r="C306" s="8" t="s">
        <v>69</v>
      </c>
      <c r="D306" s="7" t="s">
        <v>713</v>
      </c>
      <c r="E306" s="8" t="s">
        <v>743</v>
      </c>
      <c r="F306" s="9">
        <v>1</v>
      </c>
      <c r="G306" s="10" t="s">
        <v>19</v>
      </c>
      <c r="H306" s="8" t="s">
        <v>54</v>
      </c>
      <c r="I306" s="8" t="s">
        <v>55</v>
      </c>
      <c r="J306" s="8"/>
      <c r="K306" s="8"/>
      <c r="L306" s="11">
        <v>3.5</v>
      </c>
      <c r="M306" s="11">
        <v>1.2</v>
      </c>
      <c r="N306" s="11">
        <v>3.5</v>
      </c>
      <c r="O306" s="11">
        <f>L306*4</f>
        <v>14</v>
      </c>
      <c r="P306" s="11">
        <f>M306*4</f>
        <v>4.8</v>
      </c>
      <c r="Q306" s="11">
        <f>N306*4</f>
        <v>14</v>
      </c>
      <c r="R306" s="12">
        <f>(1/3)*3.14*P306^2*(3*(Q306/2)-P306)</f>
        <v>390.66623999999996</v>
      </c>
      <c r="S306" s="12">
        <f>R306/1000</f>
        <v>0.39066623999999994</v>
      </c>
    </row>
    <row r="307" spans="1:19" x14ac:dyDescent="0.25">
      <c r="A307" s="7">
        <v>306</v>
      </c>
      <c r="B307" s="8" t="s">
        <v>231</v>
      </c>
      <c r="C307" s="8" t="s">
        <v>232</v>
      </c>
      <c r="D307" s="7" t="s">
        <v>714</v>
      </c>
      <c r="E307" s="8" t="s">
        <v>743</v>
      </c>
      <c r="F307" s="9">
        <v>4</v>
      </c>
      <c r="G307" s="10" t="s">
        <v>19</v>
      </c>
      <c r="H307" s="8" t="s">
        <v>20</v>
      </c>
      <c r="I307" s="8" t="s">
        <v>21</v>
      </c>
      <c r="J307" s="8"/>
      <c r="K307" s="8"/>
      <c r="L307" s="11">
        <v>3.1</v>
      </c>
      <c r="M307" s="11">
        <v>2.5</v>
      </c>
      <c r="N307" s="11">
        <v>3.1</v>
      </c>
      <c r="O307" s="11">
        <f>L307*4</f>
        <v>12.4</v>
      </c>
      <c r="P307" s="11">
        <f>M307*4</f>
        <v>10</v>
      </c>
      <c r="Q307" s="11">
        <f>N307*4</f>
        <v>12.4</v>
      </c>
      <c r="R307" s="12">
        <f>2/3*3.14*(Q307/2)^3</f>
        <v>498.89994666666672</v>
      </c>
      <c r="S307" s="12">
        <f>R307/1000</f>
        <v>0.4988999466666667</v>
      </c>
    </row>
    <row r="308" spans="1:19" x14ac:dyDescent="0.25">
      <c r="A308" s="7">
        <v>307</v>
      </c>
      <c r="B308" s="8" t="s">
        <v>231</v>
      </c>
      <c r="C308" s="8" t="s">
        <v>233</v>
      </c>
      <c r="D308" s="7" t="s">
        <v>714</v>
      </c>
      <c r="E308" s="8" t="s">
        <v>743</v>
      </c>
      <c r="F308" s="9">
        <v>4</v>
      </c>
      <c r="G308" s="10" t="s">
        <v>25</v>
      </c>
      <c r="H308" s="8" t="s">
        <v>26</v>
      </c>
      <c r="I308" s="8" t="s">
        <v>27</v>
      </c>
      <c r="J308" s="8"/>
      <c r="K308" s="8"/>
      <c r="L308" s="11">
        <v>4.5</v>
      </c>
      <c r="M308" s="11">
        <v>2.9</v>
      </c>
      <c r="N308" s="11">
        <v>4.5</v>
      </c>
      <c r="O308" s="11">
        <f>L308*4</f>
        <v>18</v>
      </c>
      <c r="P308" s="11">
        <f>M308*4</f>
        <v>11.6</v>
      </c>
      <c r="Q308" s="11">
        <f>N308*4</f>
        <v>18</v>
      </c>
      <c r="R308" s="12">
        <f>2/3*3.14*(Q308/2)^3</f>
        <v>1526.04</v>
      </c>
      <c r="S308" s="12">
        <f>R308/1000</f>
        <v>1.5260400000000001</v>
      </c>
    </row>
    <row r="309" spans="1:19" x14ac:dyDescent="0.25">
      <c r="A309" s="7">
        <v>308</v>
      </c>
      <c r="B309" s="8" t="s">
        <v>231</v>
      </c>
      <c r="C309" s="8" t="s">
        <v>631</v>
      </c>
      <c r="D309" s="7" t="s">
        <v>715</v>
      </c>
      <c r="E309" s="8" t="s">
        <v>744</v>
      </c>
      <c r="F309" s="9">
        <v>5</v>
      </c>
      <c r="G309" s="10" t="s">
        <v>42</v>
      </c>
      <c r="H309" s="8" t="s">
        <v>107</v>
      </c>
      <c r="I309" s="8" t="s">
        <v>107</v>
      </c>
      <c r="J309" s="8"/>
      <c r="K309" s="8"/>
      <c r="L309" s="11">
        <v>8.1999999999999993</v>
      </c>
      <c r="M309" s="11">
        <v>17.600000000000001</v>
      </c>
      <c r="N309" s="11">
        <v>16.5</v>
      </c>
      <c r="O309" s="11">
        <f>L309*4</f>
        <v>32.799999999999997</v>
      </c>
      <c r="P309" s="11">
        <f>M309*4</f>
        <v>70.400000000000006</v>
      </c>
      <c r="Q309" s="11">
        <f>N309*4</f>
        <v>66</v>
      </c>
      <c r="R309" s="12">
        <f>(4/3)*3.14*(Q309/2)^3</f>
        <v>150456.24</v>
      </c>
      <c r="S309" s="12">
        <f>R309/1000</f>
        <v>150.45623999999998</v>
      </c>
    </row>
    <row r="310" spans="1:19" x14ac:dyDescent="0.25">
      <c r="A310" s="7">
        <v>309</v>
      </c>
      <c r="B310" s="8" t="s">
        <v>231</v>
      </c>
      <c r="C310" s="8" t="s">
        <v>618</v>
      </c>
      <c r="D310" s="7" t="s">
        <v>715</v>
      </c>
      <c r="E310" s="8" t="s">
        <v>744</v>
      </c>
      <c r="F310" s="9">
        <v>5</v>
      </c>
      <c r="G310" s="10" t="s">
        <v>33</v>
      </c>
      <c r="H310" s="8" t="s">
        <v>26</v>
      </c>
      <c r="I310" s="8" t="s">
        <v>27</v>
      </c>
      <c r="J310" s="8"/>
      <c r="K310" s="8"/>
      <c r="L310" s="11">
        <v>5.2</v>
      </c>
      <c r="M310" s="11">
        <v>7.5</v>
      </c>
      <c r="N310" s="11">
        <v>7.3</v>
      </c>
      <c r="O310" s="11">
        <f>L310*4</f>
        <v>20.8</v>
      </c>
      <c r="P310" s="11">
        <f>M310*4</f>
        <v>30</v>
      </c>
      <c r="Q310" s="11">
        <f>N310*4</f>
        <v>29.2</v>
      </c>
      <c r="R310" s="12">
        <f>(4/3)*3.14*(Q310/2)^3</f>
        <v>13029.476053333332</v>
      </c>
      <c r="S310" s="12">
        <f>R310/1000</f>
        <v>13.029476053333331</v>
      </c>
    </row>
    <row r="311" spans="1:19" x14ac:dyDescent="0.25">
      <c r="A311" s="7">
        <v>310</v>
      </c>
      <c r="B311" s="8" t="s">
        <v>70</v>
      </c>
      <c r="C311" s="8" t="s">
        <v>397</v>
      </c>
      <c r="D311" s="7" t="s">
        <v>716</v>
      </c>
      <c r="E311" s="8" t="s">
        <v>744</v>
      </c>
      <c r="F311" s="9">
        <v>5</v>
      </c>
      <c r="G311" s="10" t="s">
        <v>19</v>
      </c>
      <c r="H311" s="8" t="s">
        <v>154</v>
      </c>
      <c r="I311" s="8" t="s">
        <v>155</v>
      </c>
      <c r="J311" s="8" t="s">
        <v>22</v>
      </c>
      <c r="K311" s="8"/>
      <c r="L311" s="11">
        <v>1.7</v>
      </c>
      <c r="M311" s="11">
        <v>2</v>
      </c>
      <c r="N311" s="11">
        <v>1.9</v>
      </c>
      <c r="O311" s="11">
        <f>L311*4</f>
        <v>6.8</v>
      </c>
      <c r="P311" s="11">
        <f>M311*4</f>
        <v>8</v>
      </c>
      <c r="Q311" s="11">
        <f>N311*4</f>
        <v>7.6</v>
      </c>
      <c r="R311" s="12">
        <f>(4/3)*3.14*(Q311/2)^3</f>
        <v>229.7307733333333</v>
      </c>
      <c r="S311" s="12">
        <f>R311/1000</f>
        <v>0.2297307733333333</v>
      </c>
    </row>
    <row r="312" spans="1:19" x14ac:dyDescent="0.25">
      <c r="A312" s="7">
        <v>311</v>
      </c>
      <c r="B312" s="8" t="s">
        <v>70</v>
      </c>
      <c r="C312" s="8" t="s">
        <v>398</v>
      </c>
      <c r="D312" s="7" t="s">
        <v>716</v>
      </c>
      <c r="E312" s="8" t="s">
        <v>744</v>
      </c>
      <c r="F312" s="9">
        <v>5</v>
      </c>
      <c r="G312" s="10" t="s">
        <v>19</v>
      </c>
      <c r="H312" s="8" t="s">
        <v>154</v>
      </c>
      <c r="I312" s="8" t="s">
        <v>155</v>
      </c>
      <c r="J312" s="8" t="s">
        <v>22</v>
      </c>
      <c r="K312" s="8"/>
      <c r="L312" s="11">
        <v>2.4</v>
      </c>
      <c r="M312" s="11">
        <v>3.1</v>
      </c>
      <c r="N312" s="11">
        <v>2.9</v>
      </c>
      <c r="O312" s="11">
        <f>L312*4</f>
        <v>9.6</v>
      </c>
      <c r="P312" s="11">
        <f>M312*4</f>
        <v>12.4</v>
      </c>
      <c r="Q312" s="11">
        <f>N312*4</f>
        <v>11.6</v>
      </c>
      <c r="R312" s="12">
        <f>(4/3)*3.14*(Q312/2)^3</f>
        <v>816.86890666666659</v>
      </c>
      <c r="S312" s="12">
        <f>R312/1000</f>
        <v>0.81686890666666656</v>
      </c>
    </row>
    <row r="313" spans="1:19" x14ac:dyDescent="0.25">
      <c r="A313" s="7">
        <v>312</v>
      </c>
      <c r="B313" s="8" t="s">
        <v>70</v>
      </c>
      <c r="C313" s="8" t="s">
        <v>521</v>
      </c>
      <c r="D313" s="7" t="s">
        <v>717</v>
      </c>
      <c r="E313" s="8" t="s">
        <v>744</v>
      </c>
      <c r="F313" s="9">
        <v>6</v>
      </c>
      <c r="G313" s="10" t="s">
        <v>33</v>
      </c>
      <c r="H313" s="8" t="s">
        <v>522</v>
      </c>
      <c r="I313" s="8" t="s">
        <v>27</v>
      </c>
      <c r="J313" s="8" t="s">
        <v>22</v>
      </c>
      <c r="K313" s="8"/>
      <c r="L313" s="11">
        <v>1.8</v>
      </c>
      <c r="M313" s="11">
        <v>8</v>
      </c>
      <c r="N313" s="11">
        <v>6.3</v>
      </c>
      <c r="O313" s="11">
        <f>L313*4</f>
        <v>7.2</v>
      </c>
      <c r="P313" s="11">
        <f>M313*4</f>
        <v>32</v>
      </c>
      <c r="Q313" s="11">
        <f>N313*4</f>
        <v>25.2</v>
      </c>
      <c r="R313" s="12">
        <f>(4/3)*3.14*(Q313/2)^3</f>
        <v>8374.9075199999988</v>
      </c>
      <c r="S313" s="12">
        <f>R313/1000</f>
        <v>8.3749075199999989</v>
      </c>
    </row>
    <row r="314" spans="1:19" x14ac:dyDescent="0.25">
      <c r="A314" s="7">
        <v>313</v>
      </c>
      <c r="B314" s="8" t="s">
        <v>70</v>
      </c>
      <c r="C314" s="8" t="s">
        <v>638</v>
      </c>
      <c r="D314" s="7" t="s">
        <v>717</v>
      </c>
      <c r="E314" s="8" t="s">
        <v>744</v>
      </c>
      <c r="F314" s="9">
        <v>12</v>
      </c>
      <c r="G314" s="10"/>
      <c r="H314" s="8" t="s">
        <v>20</v>
      </c>
      <c r="I314" s="8" t="s">
        <v>21</v>
      </c>
      <c r="J314" s="8" t="s">
        <v>134</v>
      </c>
      <c r="K314" s="8"/>
      <c r="L314" s="11">
        <v>1.5</v>
      </c>
      <c r="M314" s="11">
        <v>5.2</v>
      </c>
      <c r="N314" s="11">
        <v>3.3</v>
      </c>
      <c r="O314" s="11">
        <f>L314*4</f>
        <v>6</v>
      </c>
      <c r="P314" s="11">
        <f>M314*4</f>
        <v>20.8</v>
      </c>
      <c r="Q314" s="11">
        <f>N314*4</f>
        <v>13.2</v>
      </c>
      <c r="R314" s="12"/>
      <c r="S314" s="12"/>
    </row>
    <row r="315" spans="1:19" x14ac:dyDescent="0.25">
      <c r="A315" s="7">
        <v>314</v>
      </c>
      <c r="B315" s="8" t="s">
        <v>70</v>
      </c>
      <c r="C315" s="8" t="s">
        <v>632</v>
      </c>
      <c r="D315" s="7" t="s">
        <v>717</v>
      </c>
      <c r="E315" s="8" t="s">
        <v>744</v>
      </c>
      <c r="F315" s="9">
        <v>11</v>
      </c>
      <c r="G315" s="10" t="s">
        <v>25</v>
      </c>
      <c r="H315" s="8" t="s">
        <v>100</v>
      </c>
      <c r="I315" s="8" t="s">
        <v>21</v>
      </c>
      <c r="J315" s="8" t="s">
        <v>22</v>
      </c>
      <c r="K315" s="8"/>
      <c r="L315" s="11">
        <v>1.2</v>
      </c>
      <c r="M315" s="11">
        <v>5.2</v>
      </c>
      <c r="N315" s="11">
        <v>3.6</v>
      </c>
      <c r="O315" s="11">
        <f>L315*4</f>
        <v>4.8</v>
      </c>
      <c r="P315" s="11">
        <f>M315*4</f>
        <v>20.8</v>
      </c>
      <c r="Q315" s="11">
        <f>N315*4</f>
        <v>14.4</v>
      </c>
      <c r="R315" s="12">
        <f>4/3*3.14*(Q315/2)*(Q315/2)*(P315/2)</f>
        <v>2257.1827200000002</v>
      </c>
      <c r="S315" s="12">
        <f>R315/1000</f>
        <v>2.2571827200000003</v>
      </c>
    </row>
    <row r="316" spans="1:19" x14ac:dyDescent="0.25">
      <c r="A316" s="7">
        <v>315</v>
      </c>
      <c r="B316" s="8" t="s">
        <v>70</v>
      </c>
      <c r="C316" s="8" t="s">
        <v>633</v>
      </c>
      <c r="D316" s="7" t="s">
        <v>718</v>
      </c>
      <c r="E316" s="8" t="s">
        <v>744</v>
      </c>
      <c r="F316" s="9">
        <v>11</v>
      </c>
      <c r="G316" s="10" t="s">
        <v>33</v>
      </c>
      <c r="H316" s="8" t="s">
        <v>154</v>
      </c>
      <c r="I316" s="8" t="s">
        <v>155</v>
      </c>
      <c r="J316" s="8" t="s">
        <v>22</v>
      </c>
      <c r="K316" s="8"/>
      <c r="L316" s="11">
        <v>1.5</v>
      </c>
      <c r="M316" s="11">
        <v>10.4</v>
      </c>
      <c r="N316" s="11">
        <v>6.6</v>
      </c>
      <c r="O316" s="11">
        <f>L316*4</f>
        <v>6</v>
      </c>
      <c r="P316" s="11">
        <f>M316*4</f>
        <v>41.6</v>
      </c>
      <c r="Q316" s="11">
        <f>N316*4</f>
        <v>26.4</v>
      </c>
      <c r="R316" s="12">
        <f>4/3*3.14*(Q316/2)*(Q316/2)*(P316/2)</f>
        <v>15173.28384</v>
      </c>
      <c r="S316" s="12">
        <f>R316/1000</f>
        <v>15.17328384</v>
      </c>
    </row>
    <row r="317" spans="1:19" x14ac:dyDescent="0.25">
      <c r="A317" s="7">
        <v>316</v>
      </c>
      <c r="B317" s="8" t="s">
        <v>70</v>
      </c>
      <c r="C317" s="8" t="s">
        <v>234</v>
      </c>
      <c r="D317" s="7" t="s">
        <v>716</v>
      </c>
      <c r="E317" s="8" t="s">
        <v>744</v>
      </c>
      <c r="F317" s="9">
        <v>4</v>
      </c>
      <c r="G317" s="10" t="s">
        <v>25</v>
      </c>
      <c r="H317" s="8" t="s">
        <v>20</v>
      </c>
      <c r="I317" s="8" t="s">
        <v>21</v>
      </c>
      <c r="J317" s="8" t="s">
        <v>22</v>
      </c>
      <c r="K317" s="8"/>
      <c r="L317" s="11">
        <v>4.9000000000000004</v>
      </c>
      <c r="M317" s="11">
        <v>2.5</v>
      </c>
      <c r="N317" s="11">
        <v>4.9000000000000004</v>
      </c>
      <c r="O317" s="11">
        <f>L317*4</f>
        <v>19.600000000000001</v>
      </c>
      <c r="P317" s="11">
        <f>M317*4</f>
        <v>10</v>
      </c>
      <c r="Q317" s="11">
        <f>N317*4</f>
        <v>19.600000000000001</v>
      </c>
      <c r="R317" s="12">
        <f>2/3*3.14*(Q317/2)^3</f>
        <v>1970.2285866666671</v>
      </c>
      <c r="S317" s="12">
        <f>R317/1000</f>
        <v>1.9702285866666671</v>
      </c>
    </row>
    <row r="318" spans="1:19" x14ac:dyDescent="0.25">
      <c r="A318" s="7">
        <v>317</v>
      </c>
      <c r="B318" s="8" t="s">
        <v>70</v>
      </c>
      <c r="C318" s="8" t="s">
        <v>235</v>
      </c>
      <c r="D318" s="7" t="s">
        <v>716</v>
      </c>
      <c r="E318" s="8" t="s">
        <v>744</v>
      </c>
      <c r="F318" s="9">
        <v>4</v>
      </c>
      <c r="G318" s="10" t="s">
        <v>25</v>
      </c>
      <c r="H318" s="8" t="s">
        <v>20</v>
      </c>
      <c r="I318" s="8" t="s">
        <v>21</v>
      </c>
      <c r="J318" s="8" t="s">
        <v>22</v>
      </c>
      <c r="K318" s="8"/>
      <c r="L318" s="11">
        <v>4</v>
      </c>
      <c r="M318" s="11">
        <v>2.6</v>
      </c>
      <c r="N318" s="11">
        <v>4</v>
      </c>
      <c r="O318" s="11">
        <f>L318*4</f>
        <v>16</v>
      </c>
      <c r="P318" s="11">
        <f>M318*4</f>
        <v>10.4</v>
      </c>
      <c r="Q318" s="11">
        <f>N318*4</f>
        <v>16</v>
      </c>
      <c r="R318" s="12">
        <f>2/3*3.14*(Q318/2)^3</f>
        <v>1071.7866666666666</v>
      </c>
      <c r="S318" s="12">
        <f>R318/1000</f>
        <v>1.0717866666666667</v>
      </c>
    </row>
    <row r="319" spans="1:19" x14ac:dyDescent="0.25">
      <c r="A319" s="7">
        <v>318</v>
      </c>
      <c r="B319" s="8" t="s">
        <v>70</v>
      </c>
      <c r="C319" s="8" t="s">
        <v>128</v>
      </c>
      <c r="D319" s="7" t="s">
        <v>716</v>
      </c>
      <c r="E319" s="8" t="s">
        <v>744</v>
      </c>
      <c r="F319" s="9">
        <v>2</v>
      </c>
      <c r="G319" s="10" t="s">
        <v>19</v>
      </c>
      <c r="H319" s="8" t="s">
        <v>100</v>
      </c>
      <c r="I319" s="8" t="s">
        <v>21</v>
      </c>
      <c r="J319" s="8" t="s">
        <v>22</v>
      </c>
      <c r="K319" s="8"/>
      <c r="L319" s="11">
        <v>3</v>
      </c>
      <c r="M319" s="11">
        <v>1.5</v>
      </c>
      <c r="N319" s="11">
        <v>3</v>
      </c>
      <c r="O319" s="11">
        <f>L319*4</f>
        <v>12</v>
      </c>
      <c r="P319" s="11">
        <f>M319*4</f>
        <v>6</v>
      </c>
      <c r="Q319" s="11">
        <f>N319*4</f>
        <v>12</v>
      </c>
      <c r="R319" s="12">
        <f>(1/3)*3.14*P319^2*(3*(Q319/2)-P319)</f>
        <v>452.15999999999997</v>
      </c>
      <c r="S319" s="12">
        <f>R319/1000</f>
        <v>0.45215999999999995</v>
      </c>
    </row>
    <row r="320" spans="1:19" x14ac:dyDescent="0.25">
      <c r="A320" s="7">
        <v>319</v>
      </c>
      <c r="B320" s="8" t="s">
        <v>70</v>
      </c>
      <c r="C320" s="8" t="s">
        <v>399</v>
      </c>
      <c r="D320" s="7" t="s">
        <v>716</v>
      </c>
      <c r="E320" s="8" t="s">
        <v>744</v>
      </c>
      <c r="F320" s="9">
        <v>5</v>
      </c>
      <c r="G320" s="10" t="s">
        <v>25</v>
      </c>
      <c r="H320" s="8" t="s">
        <v>100</v>
      </c>
      <c r="I320" s="8" t="s">
        <v>21</v>
      </c>
      <c r="J320" s="8" t="s">
        <v>22</v>
      </c>
      <c r="K320" s="8"/>
      <c r="L320" s="11">
        <v>3.6</v>
      </c>
      <c r="M320" s="11">
        <v>2.9</v>
      </c>
      <c r="N320" s="11">
        <v>4</v>
      </c>
      <c r="O320" s="11">
        <f>L320*4</f>
        <v>14.4</v>
      </c>
      <c r="P320" s="11">
        <f>M320*4</f>
        <v>11.6</v>
      </c>
      <c r="Q320" s="11">
        <f>N320*4</f>
        <v>16</v>
      </c>
      <c r="R320" s="12">
        <f>(4/3)*3.14*(Q320/2)^3</f>
        <v>2143.5733333333333</v>
      </c>
      <c r="S320" s="12">
        <f>R320/1000</f>
        <v>2.1435733333333333</v>
      </c>
    </row>
    <row r="321" spans="1:19" x14ac:dyDescent="0.25">
      <c r="A321" s="7">
        <v>320</v>
      </c>
      <c r="B321" s="8" t="s">
        <v>70</v>
      </c>
      <c r="C321" s="8" t="s">
        <v>236</v>
      </c>
      <c r="D321" s="7" t="s">
        <v>716</v>
      </c>
      <c r="E321" s="8" t="s">
        <v>744</v>
      </c>
      <c r="F321" s="9">
        <v>4</v>
      </c>
      <c r="G321" s="10" t="s">
        <v>19</v>
      </c>
      <c r="H321" s="8" t="s">
        <v>100</v>
      </c>
      <c r="I321" s="8" t="s">
        <v>21</v>
      </c>
      <c r="J321" s="8" t="s">
        <v>237</v>
      </c>
      <c r="K321" s="8"/>
      <c r="L321" s="11">
        <v>2.2000000000000002</v>
      </c>
      <c r="M321" s="11">
        <v>2.1</v>
      </c>
      <c r="N321" s="11">
        <v>2.4</v>
      </c>
      <c r="O321" s="11">
        <f>L321*4</f>
        <v>8.8000000000000007</v>
      </c>
      <c r="P321" s="11">
        <f>M321*4</f>
        <v>8.4</v>
      </c>
      <c r="Q321" s="11">
        <f>N321*4</f>
        <v>9.6</v>
      </c>
      <c r="R321" s="12">
        <f>2/3*3.14*(Q321/2)^3</f>
        <v>231.50592</v>
      </c>
      <c r="S321" s="12">
        <f>R321/1000</f>
        <v>0.23150592</v>
      </c>
    </row>
    <row r="322" spans="1:19" x14ac:dyDescent="0.25">
      <c r="A322" s="7">
        <v>321</v>
      </c>
      <c r="B322" s="8" t="s">
        <v>70</v>
      </c>
      <c r="C322" s="8" t="s">
        <v>238</v>
      </c>
      <c r="D322" s="7" t="s">
        <v>716</v>
      </c>
      <c r="E322" s="8" t="s">
        <v>744</v>
      </c>
      <c r="F322" s="9">
        <v>4</v>
      </c>
      <c r="G322" s="10" t="s">
        <v>19</v>
      </c>
      <c r="H322" s="8" t="s">
        <v>26</v>
      </c>
      <c r="I322" s="8" t="s">
        <v>27</v>
      </c>
      <c r="J322" s="8" t="s">
        <v>28</v>
      </c>
      <c r="K322" s="8"/>
      <c r="L322" s="11">
        <v>2</v>
      </c>
      <c r="M322" s="11">
        <v>1.2</v>
      </c>
      <c r="N322" s="11">
        <v>2</v>
      </c>
      <c r="O322" s="11">
        <f>L322*4</f>
        <v>8</v>
      </c>
      <c r="P322" s="11">
        <f>M322*4</f>
        <v>4.8</v>
      </c>
      <c r="Q322" s="11">
        <f>N322*4</f>
        <v>8</v>
      </c>
      <c r="R322" s="12">
        <f>2/3*3.14*(Q322/2)^3</f>
        <v>133.97333333333333</v>
      </c>
      <c r="S322" s="12">
        <f>R322/1000</f>
        <v>0.13397333333333333</v>
      </c>
    </row>
    <row r="323" spans="1:19" x14ac:dyDescent="0.25">
      <c r="A323" s="7">
        <v>322</v>
      </c>
      <c r="B323" s="8" t="s">
        <v>70</v>
      </c>
      <c r="C323" s="8" t="s">
        <v>600</v>
      </c>
      <c r="D323" s="7" t="s">
        <v>719</v>
      </c>
      <c r="E323" s="8" t="s">
        <v>744</v>
      </c>
      <c r="F323" s="9">
        <v>9</v>
      </c>
      <c r="G323" s="10" t="s">
        <v>19</v>
      </c>
      <c r="H323" s="8" t="s">
        <v>20</v>
      </c>
      <c r="I323" s="8" t="s">
        <v>21</v>
      </c>
      <c r="J323" s="8" t="s">
        <v>22</v>
      </c>
      <c r="K323" s="8"/>
      <c r="L323" s="11">
        <v>1.8</v>
      </c>
      <c r="M323" s="11">
        <v>2.2000000000000002</v>
      </c>
      <c r="N323" s="11">
        <v>1.8</v>
      </c>
      <c r="O323" s="11">
        <f>L323*4</f>
        <v>7.2</v>
      </c>
      <c r="P323" s="11">
        <f>M323*4</f>
        <v>8.8000000000000007</v>
      </c>
      <c r="Q323" s="11">
        <f>N323*4</f>
        <v>7.2</v>
      </c>
      <c r="R323" s="12">
        <f>4/3*3.14*(Q323/2)*(Q323/2)*(P323/2)</f>
        <v>238.74048000000002</v>
      </c>
      <c r="S323" s="12">
        <f>R323/1000</f>
        <v>0.23874048000000003</v>
      </c>
    </row>
    <row r="324" spans="1:19" x14ac:dyDescent="0.25">
      <c r="A324" s="7">
        <v>323</v>
      </c>
      <c r="B324" s="8" t="s">
        <v>70</v>
      </c>
      <c r="C324" s="8" t="s">
        <v>601</v>
      </c>
      <c r="D324" s="7" t="s">
        <v>719</v>
      </c>
      <c r="E324" s="8" t="s">
        <v>744</v>
      </c>
      <c r="F324" s="9">
        <v>9</v>
      </c>
      <c r="G324" s="10" t="s">
        <v>19</v>
      </c>
      <c r="H324" s="8" t="s">
        <v>100</v>
      </c>
      <c r="I324" s="8" t="s">
        <v>21</v>
      </c>
      <c r="J324" s="8" t="s">
        <v>22</v>
      </c>
      <c r="K324" s="8"/>
      <c r="L324" s="11">
        <v>1.5</v>
      </c>
      <c r="M324" s="11">
        <v>1.7</v>
      </c>
      <c r="N324" s="11">
        <v>1.5</v>
      </c>
      <c r="O324" s="11">
        <f>L324*4</f>
        <v>6</v>
      </c>
      <c r="P324" s="11">
        <f>M324*4</f>
        <v>6.8</v>
      </c>
      <c r="Q324" s="11">
        <f>N324*4</f>
        <v>6</v>
      </c>
      <c r="R324" s="12">
        <f>4/3*3.14*(Q324/2)*(Q324/2)*(P324/2)</f>
        <v>128.11199999999997</v>
      </c>
      <c r="S324" s="12">
        <f>R324/1000</f>
        <v>0.12811199999999998</v>
      </c>
    </row>
    <row r="325" spans="1:19" x14ac:dyDescent="0.25">
      <c r="A325" s="7">
        <v>324</v>
      </c>
      <c r="B325" s="8" t="s">
        <v>70</v>
      </c>
      <c r="C325" s="8" t="s">
        <v>602</v>
      </c>
      <c r="D325" s="7" t="s">
        <v>719</v>
      </c>
      <c r="E325" s="8" t="s">
        <v>744</v>
      </c>
      <c r="F325" s="9">
        <v>9</v>
      </c>
      <c r="G325" s="10" t="s">
        <v>19</v>
      </c>
      <c r="H325" s="8" t="s">
        <v>100</v>
      </c>
      <c r="I325" s="8" t="s">
        <v>21</v>
      </c>
      <c r="J325" s="8" t="s">
        <v>22</v>
      </c>
      <c r="K325" s="8"/>
      <c r="L325" s="11">
        <v>1.2</v>
      </c>
      <c r="M325" s="11">
        <v>1.9</v>
      </c>
      <c r="N325" s="11">
        <v>1.2</v>
      </c>
      <c r="O325" s="11">
        <f>L325*4</f>
        <v>4.8</v>
      </c>
      <c r="P325" s="11">
        <f>M325*4</f>
        <v>7.6</v>
      </c>
      <c r="Q325" s="11">
        <f>N325*4</f>
        <v>4.8</v>
      </c>
      <c r="R325" s="12">
        <f>4/3*3.14*(Q325/2)*(Q325/2)*(P325/2)</f>
        <v>91.637759999999986</v>
      </c>
      <c r="S325" s="12">
        <f>R325/1000</f>
        <v>9.1637759999999985E-2</v>
      </c>
    </row>
    <row r="326" spans="1:19" x14ac:dyDescent="0.25">
      <c r="A326" s="7">
        <v>325</v>
      </c>
      <c r="B326" s="8" t="s">
        <v>70</v>
      </c>
      <c r="C326" s="8" t="s">
        <v>619</v>
      </c>
      <c r="D326" s="7" t="s">
        <v>718</v>
      </c>
      <c r="E326" s="8" t="s">
        <v>744</v>
      </c>
      <c r="F326" s="9">
        <v>10</v>
      </c>
      <c r="G326" s="10" t="s">
        <v>33</v>
      </c>
      <c r="H326" s="8" t="s">
        <v>100</v>
      </c>
      <c r="I326" s="8" t="s">
        <v>21</v>
      </c>
      <c r="J326" s="8" t="s">
        <v>22</v>
      </c>
      <c r="K326" s="8"/>
      <c r="L326" s="11">
        <v>4.2</v>
      </c>
      <c r="M326" s="11">
        <v>7.6</v>
      </c>
      <c r="N326" s="11">
        <v>6</v>
      </c>
      <c r="O326" s="11">
        <f>L326*4</f>
        <v>16.8</v>
      </c>
      <c r="P326" s="11">
        <f>M326*4</f>
        <v>30.4</v>
      </c>
      <c r="Q326" s="11">
        <f>N326*4</f>
        <v>24</v>
      </c>
      <c r="R326" s="12">
        <f>4/3*3.14*(Q326/2)*(Q326/2)*(P326/2)</f>
        <v>9163.775999999998</v>
      </c>
      <c r="S326" s="12">
        <f>R326/1000</f>
        <v>9.1637759999999986</v>
      </c>
    </row>
    <row r="327" spans="1:19" x14ac:dyDescent="0.25">
      <c r="A327" s="7">
        <v>326</v>
      </c>
      <c r="B327" s="8" t="s">
        <v>70</v>
      </c>
      <c r="C327" s="8" t="s">
        <v>620</v>
      </c>
      <c r="D327" s="7" t="s">
        <v>720</v>
      </c>
      <c r="E327" s="8" t="s">
        <v>744</v>
      </c>
      <c r="F327" s="9">
        <v>10</v>
      </c>
      <c r="G327" s="10" t="s">
        <v>19</v>
      </c>
      <c r="H327" s="8" t="s">
        <v>154</v>
      </c>
      <c r="I327" s="8" t="s">
        <v>155</v>
      </c>
      <c r="J327" s="8" t="s">
        <v>22</v>
      </c>
      <c r="K327" s="8"/>
      <c r="L327" s="11">
        <v>0.9</v>
      </c>
      <c r="M327" s="11">
        <v>2.1</v>
      </c>
      <c r="N327" s="11">
        <v>1.6</v>
      </c>
      <c r="O327" s="11">
        <f>L327*4</f>
        <v>3.6</v>
      </c>
      <c r="P327" s="11">
        <f>M327*4</f>
        <v>8.4</v>
      </c>
      <c r="Q327" s="11">
        <f>N327*4</f>
        <v>6.4</v>
      </c>
      <c r="R327" s="12">
        <f>4/3*3.14*(Q327/2)*(Q327/2)*(P327/2)</f>
        <v>180.06016000000002</v>
      </c>
      <c r="S327" s="12">
        <f>R327/1000</f>
        <v>0.18006016000000002</v>
      </c>
    </row>
    <row r="328" spans="1:19" x14ac:dyDescent="0.25">
      <c r="A328" s="7">
        <v>327</v>
      </c>
      <c r="B328" s="8" t="s">
        <v>70</v>
      </c>
      <c r="C328" s="8" t="s">
        <v>621</v>
      </c>
      <c r="D328" s="7" t="s">
        <v>718</v>
      </c>
      <c r="E328" s="8" t="s">
        <v>744</v>
      </c>
      <c r="F328" s="9">
        <v>10</v>
      </c>
      <c r="G328" s="10" t="s">
        <v>33</v>
      </c>
      <c r="H328" s="8" t="s">
        <v>20</v>
      </c>
      <c r="I328" s="8" t="s">
        <v>21</v>
      </c>
      <c r="J328" s="8" t="s">
        <v>22</v>
      </c>
      <c r="K328" s="8"/>
      <c r="L328" s="11">
        <v>1.7</v>
      </c>
      <c r="M328" s="11">
        <v>8.1</v>
      </c>
      <c r="N328" s="11">
        <v>5</v>
      </c>
      <c r="O328" s="11">
        <f>L328*4</f>
        <v>6.8</v>
      </c>
      <c r="P328" s="11">
        <f>M328*4</f>
        <v>32.4</v>
      </c>
      <c r="Q328" s="11">
        <f>N328*4</f>
        <v>20</v>
      </c>
      <c r="R328" s="12">
        <f>4/3*3.14*(Q328/2)*(Q328/2)*(P328/2)</f>
        <v>6782.4</v>
      </c>
      <c r="S328" s="12">
        <f>R328/1000</f>
        <v>6.7824</v>
      </c>
    </row>
    <row r="329" spans="1:19" x14ac:dyDescent="0.25">
      <c r="A329" s="7">
        <v>328</v>
      </c>
      <c r="B329" s="8" t="s">
        <v>70</v>
      </c>
      <c r="C329" s="8" t="s">
        <v>71</v>
      </c>
      <c r="D329" s="7" t="s">
        <v>719</v>
      </c>
      <c r="E329" s="8" t="s">
        <v>744</v>
      </c>
      <c r="F329" s="9">
        <v>1</v>
      </c>
      <c r="G329" s="10" t="s">
        <v>25</v>
      </c>
      <c r="H329" s="8" t="s">
        <v>20</v>
      </c>
      <c r="I329" s="8" t="s">
        <v>21</v>
      </c>
      <c r="J329" s="8" t="s">
        <v>22</v>
      </c>
      <c r="K329" s="8"/>
      <c r="L329" s="11">
        <v>9.9</v>
      </c>
      <c r="M329" s="11">
        <v>2.4</v>
      </c>
      <c r="N329" s="11">
        <v>9.9</v>
      </c>
      <c r="O329" s="11">
        <f>L329*4</f>
        <v>39.6</v>
      </c>
      <c r="P329" s="11">
        <f>M329*4</f>
        <v>9.6</v>
      </c>
      <c r="Q329" s="11">
        <f>N329*4</f>
        <v>39.6</v>
      </c>
      <c r="R329" s="12">
        <f>(1/3)*3.14*P329^2*(3*(Q329/2)-P329)</f>
        <v>4803.74784</v>
      </c>
      <c r="S329" s="12">
        <f>R329/1000</f>
        <v>4.8037478399999998</v>
      </c>
    </row>
    <row r="330" spans="1:19" x14ac:dyDescent="0.25">
      <c r="A330" s="7">
        <v>329</v>
      </c>
      <c r="B330" s="8" t="s">
        <v>70</v>
      </c>
      <c r="C330" s="8" t="s">
        <v>72</v>
      </c>
      <c r="D330" s="7" t="s">
        <v>719</v>
      </c>
      <c r="E330" s="8" t="s">
        <v>744</v>
      </c>
      <c r="F330" s="9">
        <v>1</v>
      </c>
      <c r="G330" s="10" t="s">
        <v>25</v>
      </c>
      <c r="H330" s="8" t="s">
        <v>20</v>
      </c>
      <c r="I330" s="8" t="s">
        <v>21</v>
      </c>
      <c r="J330" s="8" t="s">
        <v>22</v>
      </c>
      <c r="K330" s="8"/>
      <c r="L330" s="11">
        <v>8.3000000000000007</v>
      </c>
      <c r="M330" s="11">
        <v>2.7</v>
      </c>
      <c r="N330" s="11">
        <v>8.3000000000000007</v>
      </c>
      <c r="O330" s="11">
        <f>L330*4</f>
        <v>33.200000000000003</v>
      </c>
      <c r="P330" s="11">
        <f>M330*4</f>
        <v>10.8</v>
      </c>
      <c r="Q330" s="11">
        <f>N330*4</f>
        <v>33.200000000000003</v>
      </c>
      <c r="R330" s="12">
        <f>(1/3)*3.14*P330^2*(3*(Q330/2)-P330)</f>
        <v>4761.2448000000004</v>
      </c>
      <c r="S330" s="12">
        <f>R330/1000</f>
        <v>4.7612448000000001</v>
      </c>
    </row>
    <row r="331" spans="1:19" x14ac:dyDescent="0.25">
      <c r="A331" s="7">
        <v>330</v>
      </c>
      <c r="B331" s="8" t="s">
        <v>70</v>
      </c>
      <c r="C331" s="8" t="s">
        <v>129</v>
      </c>
      <c r="D331" s="7" t="s">
        <v>719</v>
      </c>
      <c r="E331" s="8" t="s">
        <v>744</v>
      </c>
      <c r="F331" s="9">
        <v>2</v>
      </c>
      <c r="G331" s="10" t="s">
        <v>33</v>
      </c>
      <c r="H331" s="8" t="s">
        <v>26</v>
      </c>
      <c r="I331" s="8" t="s">
        <v>27</v>
      </c>
      <c r="J331" s="8" t="s">
        <v>22</v>
      </c>
      <c r="K331" s="8"/>
      <c r="L331" s="11">
        <v>9</v>
      </c>
      <c r="M331" s="11">
        <v>4.0999999999999996</v>
      </c>
      <c r="N331" s="11">
        <v>9</v>
      </c>
      <c r="O331" s="11">
        <f>L331*4</f>
        <v>36</v>
      </c>
      <c r="P331" s="11">
        <f>M331*4</f>
        <v>16.399999999999999</v>
      </c>
      <c r="Q331" s="11">
        <f>N331*4</f>
        <v>36</v>
      </c>
      <c r="R331" s="12">
        <f>(1/3)*3.14*P331^2*(3*(Q331/2)-P331)</f>
        <v>10584.831146666666</v>
      </c>
      <c r="S331" s="12">
        <f>R331/1000</f>
        <v>10.584831146666666</v>
      </c>
    </row>
    <row r="332" spans="1:19" x14ac:dyDescent="0.25">
      <c r="A332" s="7">
        <v>331</v>
      </c>
      <c r="B332" s="8" t="s">
        <v>70</v>
      </c>
      <c r="C332" s="8" t="s">
        <v>564</v>
      </c>
      <c r="D332" s="7" t="s">
        <v>719</v>
      </c>
      <c r="E332" s="8" t="s">
        <v>744</v>
      </c>
      <c r="F332" s="9">
        <v>7</v>
      </c>
      <c r="G332" s="10" t="s">
        <v>19</v>
      </c>
      <c r="H332" s="8" t="s">
        <v>20</v>
      </c>
      <c r="I332" s="8" t="s">
        <v>21</v>
      </c>
      <c r="J332" s="8" t="s">
        <v>22</v>
      </c>
      <c r="K332" s="8"/>
      <c r="L332" s="11">
        <v>2.1</v>
      </c>
      <c r="M332" s="11">
        <v>2</v>
      </c>
      <c r="N332" s="11">
        <v>2.9</v>
      </c>
      <c r="O332" s="11">
        <f>L332*4</f>
        <v>8.4</v>
      </c>
      <c r="P332" s="11">
        <f>M332*4</f>
        <v>8</v>
      </c>
      <c r="Q332" s="11">
        <f>N332*4</f>
        <v>11.6</v>
      </c>
      <c r="R332" s="12">
        <f>4/3*3.14*(Q332/2)*(Q332/2)*(P332/2)</f>
        <v>563.35786666666661</v>
      </c>
      <c r="S332" s="12">
        <f>R332/1000</f>
        <v>0.56335786666666665</v>
      </c>
    </row>
    <row r="333" spans="1:19" x14ac:dyDescent="0.25">
      <c r="A333" s="7">
        <v>332</v>
      </c>
      <c r="B333" s="8" t="s">
        <v>70</v>
      </c>
      <c r="C333" s="8" t="s">
        <v>239</v>
      </c>
      <c r="D333" s="7" t="s">
        <v>719</v>
      </c>
      <c r="E333" s="8" t="s">
        <v>744</v>
      </c>
      <c r="F333" s="9">
        <v>4</v>
      </c>
      <c r="G333" s="10" t="s">
        <v>19</v>
      </c>
      <c r="H333" s="8" t="s">
        <v>20</v>
      </c>
      <c r="I333" s="8" t="s">
        <v>21</v>
      </c>
      <c r="J333" s="8" t="s">
        <v>132</v>
      </c>
      <c r="K333" s="8" t="s">
        <v>240</v>
      </c>
      <c r="L333" s="11">
        <v>3.1</v>
      </c>
      <c r="M333" s="11">
        <v>3.4</v>
      </c>
      <c r="N333" s="11">
        <v>3.1</v>
      </c>
      <c r="O333" s="11">
        <f>L333*4</f>
        <v>12.4</v>
      </c>
      <c r="P333" s="11">
        <f>M333*4</f>
        <v>13.6</v>
      </c>
      <c r="Q333" s="11">
        <f>N333*4</f>
        <v>12.4</v>
      </c>
      <c r="R333" s="12">
        <f>2/3*3.14*(Q333/2)^3</f>
        <v>498.89994666666672</v>
      </c>
      <c r="S333" s="12">
        <f>R333/1000</f>
        <v>0.4988999466666667</v>
      </c>
    </row>
    <row r="334" spans="1:19" x14ac:dyDescent="0.25">
      <c r="A334" s="7">
        <v>333</v>
      </c>
      <c r="B334" s="8" t="s">
        <v>70</v>
      </c>
      <c r="C334" s="8" t="s">
        <v>241</v>
      </c>
      <c r="D334" s="7" t="s">
        <v>719</v>
      </c>
      <c r="E334" s="8" t="s">
        <v>744</v>
      </c>
      <c r="F334" s="9">
        <v>4</v>
      </c>
      <c r="G334" s="10" t="s">
        <v>19</v>
      </c>
      <c r="H334" s="8" t="s">
        <v>20</v>
      </c>
      <c r="I334" s="8" t="s">
        <v>21</v>
      </c>
      <c r="J334" s="8" t="s">
        <v>237</v>
      </c>
      <c r="K334" s="8"/>
      <c r="L334" s="11">
        <v>2</v>
      </c>
      <c r="M334" s="11">
        <v>2.2000000000000002</v>
      </c>
      <c r="N334" s="11">
        <v>2.2000000000000002</v>
      </c>
      <c r="O334" s="11">
        <f>L334*4</f>
        <v>8</v>
      </c>
      <c r="P334" s="11">
        <f>M334*4</f>
        <v>8.8000000000000007</v>
      </c>
      <c r="Q334" s="11">
        <f>N334*4</f>
        <v>8.8000000000000007</v>
      </c>
      <c r="R334" s="12">
        <f>2/3*3.14*(Q334/2)^3</f>
        <v>178.31850666666671</v>
      </c>
      <c r="S334" s="12">
        <f>R334/1000</f>
        <v>0.17831850666666671</v>
      </c>
    </row>
    <row r="335" spans="1:19" x14ac:dyDescent="0.25">
      <c r="A335" s="7">
        <v>336</v>
      </c>
      <c r="B335" s="8" t="s">
        <v>242</v>
      </c>
      <c r="C335" s="8" t="s">
        <v>243</v>
      </c>
      <c r="D335" s="7" t="s">
        <v>721</v>
      </c>
      <c r="E335" s="8" t="s">
        <v>744</v>
      </c>
      <c r="F335" s="9">
        <v>4</v>
      </c>
      <c r="G335" s="10" t="s">
        <v>19</v>
      </c>
      <c r="H335" s="8" t="s">
        <v>26</v>
      </c>
      <c r="I335" s="8" t="s">
        <v>27</v>
      </c>
      <c r="J335" s="8" t="s">
        <v>22</v>
      </c>
      <c r="K335" s="8"/>
      <c r="L335" s="11">
        <v>2.4</v>
      </c>
      <c r="M335" s="11">
        <v>2</v>
      </c>
      <c r="N335" s="11">
        <v>2.4</v>
      </c>
      <c r="O335" s="11">
        <f>L335*4</f>
        <v>9.6</v>
      </c>
      <c r="P335" s="11">
        <f>M335*4</f>
        <v>8</v>
      </c>
      <c r="Q335" s="11">
        <f>N335*4</f>
        <v>9.6</v>
      </c>
      <c r="R335" s="12">
        <f>2/3*3.14*(Q335/2)^3</f>
        <v>231.50592</v>
      </c>
      <c r="S335" s="12">
        <f>R335/1000</f>
        <v>0.23150592</v>
      </c>
    </row>
    <row r="336" spans="1:19" x14ac:dyDescent="0.25">
      <c r="A336" s="7">
        <v>337</v>
      </c>
      <c r="B336" s="8" t="s">
        <v>242</v>
      </c>
      <c r="C336" s="8" t="s">
        <v>603</v>
      </c>
      <c r="D336" s="7" t="s">
        <v>721</v>
      </c>
      <c r="E336" s="8" t="s">
        <v>744</v>
      </c>
      <c r="F336" s="9">
        <v>9</v>
      </c>
      <c r="G336" s="10" t="s">
        <v>19</v>
      </c>
      <c r="H336" s="8" t="s">
        <v>154</v>
      </c>
      <c r="I336" s="8" t="s">
        <v>155</v>
      </c>
      <c r="J336" s="8" t="s">
        <v>22</v>
      </c>
      <c r="K336" s="8"/>
      <c r="L336" s="11">
        <v>1.6</v>
      </c>
      <c r="M336" s="11">
        <v>2.1</v>
      </c>
      <c r="N336" s="11">
        <v>1.9</v>
      </c>
      <c r="O336" s="11">
        <f>L336*4</f>
        <v>6.4</v>
      </c>
      <c r="P336" s="11">
        <f>M336*4</f>
        <v>8.4</v>
      </c>
      <c r="Q336" s="11">
        <f>N336*4</f>
        <v>7.6</v>
      </c>
      <c r="R336" s="12">
        <f>4/3*3.14*(Q336/2)*(Q336/2)*(P336/2)</f>
        <v>253.91295999999997</v>
      </c>
      <c r="S336" s="12">
        <f>R336/1000</f>
        <v>0.25391295999999997</v>
      </c>
    </row>
    <row r="337" spans="1:19" x14ac:dyDescent="0.25">
      <c r="A337" s="7">
        <v>338</v>
      </c>
      <c r="B337" s="8" t="s">
        <v>242</v>
      </c>
      <c r="C337" s="8" t="s">
        <v>400</v>
      </c>
      <c r="D337" s="7" t="s">
        <v>721</v>
      </c>
      <c r="E337" s="8" t="s">
        <v>744</v>
      </c>
      <c r="F337" s="9">
        <v>5</v>
      </c>
      <c r="G337" s="10" t="s">
        <v>25</v>
      </c>
      <c r="H337" s="8" t="s">
        <v>20</v>
      </c>
      <c r="I337" s="8" t="s">
        <v>21</v>
      </c>
      <c r="J337" s="8" t="s">
        <v>22</v>
      </c>
      <c r="K337" s="8"/>
      <c r="L337" s="11">
        <v>3.3</v>
      </c>
      <c r="M337" s="11">
        <v>4.5</v>
      </c>
      <c r="N337" s="11">
        <v>4.8</v>
      </c>
      <c r="O337" s="11">
        <f>L337*4</f>
        <v>13.2</v>
      </c>
      <c r="P337" s="11">
        <f>M337*4</f>
        <v>18</v>
      </c>
      <c r="Q337" s="11">
        <f>N337*4</f>
        <v>19.2</v>
      </c>
      <c r="R337" s="12">
        <f>(4/3)*3.14*(Q337/2)^3</f>
        <v>3704.0947200000001</v>
      </c>
      <c r="S337" s="12">
        <f>R337/1000</f>
        <v>3.7040947200000001</v>
      </c>
    </row>
    <row r="338" spans="1:19" x14ac:dyDescent="0.25">
      <c r="A338" s="7">
        <v>339</v>
      </c>
      <c r="B338" s="8" t="s">
        <v>242</v>
      </c>
      <c r="C338" s="8" t="s">
        <v>401</v>
      </c>
      <c r="D338" s="7" t="s">
        <v>721</v>
      </c>
      <c r="E338" s="8" t="s">
        <v>744</v>
      </c>
      <c r="F338" s="9">
        <v>5</v>
      </c>
      <c r="G338" s="10" t="s">
        <v>25</v>
      </c>
      <c r="H338" s="8" t="s">
        <v>20</v>
      </c>
      <c r="I338" s="8" t="s">
        <v>21</v>
      </c>
      <c r="J338" s="8" t="s">
        <v>22</v>
      </c>
      <c r="K338" s="8"/>
      <c r="L338" s="11">
        <v>2.6</v>
      </c>
      <c r="M338" s="11">
        <v>4</v>
      </c>
      <c r="N338" s="11">
        <v>4.4000000000000004</v>
      </c>
      <c r="O338" s="11">
        <f>L338*4</f>
        <v>10.4</v>
      </c>
      <c r="P338" s="11">
        <f>M338*4</f>
        <v>16</v>
      </c>
      <c r="Q338" s="11">
        <f>N338*4</f>
        <v>17.600000000000001</v>
      </c>
      <c r="R338" s="12">
        <f>(4/3)*3.14*(Q338/2)^3</f>
        <v>2853.0961066666673</v>
      </c>
      <c r="S338" s="12">
        <f>R338/1000</f>
        <v>2.8530961066666674</v>
      </c>
    </row>
    <row r="339" spans="1:19" x14ac:dyDescent="0.25">
      <c r="A339" s="7">
        <v>340</v>
      </c>
      <c r="B339" s="8" t="s">
        <v>242</v>
      </c>
      <c r="C339" s="8" t="s">
        <v>402</v>
      </c>
      <c r="D339" s="7" t="s">
        <v>721</v>
      </c>
      <c r="E339" s="8" t="s">
        <v>744</v>
      </c>
      <c r="F339" s="9">
        <v>5</v>
      </c>
      <c r="G339" s="10" t="s">
        <v>25</v>
      </c>
      <c r="H339" s="8" t="s">
        <v>294</v>
      </c>
      <c r="I339" s="8" t="s">
        <v>295</v>
      </c>
      <c r="J339" s="8" t="s">
        <v>22</v>
      </c>
      <c r="K339" s="8"/>
      <c r="L339" s="11">
        <v>3.2</v>
      </c>
      <c r="M339" s="11">
        <v>3.5</v>
      </c>
      <c r="N339" s="11">
        <v>3.8</v>
      </c>
      <c r="O339" s="11">
        <f>L339*4</f>
        <v>12.8</v>
      </c>
      <c r="P339" s="11">
        <f>M339*4</f>
        <v>14</v>
      </c>
      <c r="Q339" s="11">
        <f>N339*4</f>
        <v>15.2</v>
      </c>
      <c r="R339" s="12">
        <f>(4/3)*3.14*(Q339/2)^3</f>
        <v>1837.8461866666664</v>
      </c>
      <c r="S339" s="12">
        <f>R339/1000</f>
        <v>1.8378461866666664</v>
      </c>
    </row>
    <row r="340" spans="1:19" x14ac:dyDescent="0.25">
      <c r="A340" s="7">
        <v>341</v>
      </c>
      <c r="B340" s="8" t="s">
        <v>242</v>
      </c>
      <c r="C340" s="8" t="s">
        <v>403</v>
      </c>
      <c r="D340" s="7" t="s">
        <v>715</v>
      </c>
      <c r="E340" s="8" t="s">
        <v>744</v>
      </c>
      <c r="F340" s="9">
        <v>5</v>
      </c>
      <c r="G340" s="10" t="s">
        <v>19</v>
      </c>
      <c r="H340" s="8" t="s">
        <v>54</v>
      </c>
      <c r="I340" s="8" t="s">
        <v>55</v>
      </c>
      <c r="J340" s="8" t="s">
        <v>22</v>
      </c>
      <c r="K340" s="8"/>
      <c r="L340" s="11">
        <v>2</v>
      </c>
      <c r="M340" s="11">
        <v>1.8</v>
      </c>
      <c r="N340" s="11">
        <v>2.5</v>
      </c>
      <c r="O340" s="11">
        <f>L340*4</f>
        <v>8</v>
      </c>
      <c r="P340" s="11">
        <f>M340*4</f>
        <v>7.2</v>
      </c>
      <c r="Q340" s="11">
        <f>N340*4</f>
        <v>10</v>
      </c>
      <c r="R340" s="12">
        <f>(4/3)*3.14*(Q340/2)^3</f>
        <v>523.33333333333337</v>
      </c>
      <c r="S340" s="12">
        <f>R340/1000</f>
        <v>0.52333333333333332</v>
      </c>
    </row>
    <row r="341" spans="1:19" x14ac:dyDescent="0.25">
      <c r="A341" s="7">
        <v>342</v>
      </c>
      <c r="B341" s="8" t="s">
        <v>242</v>
      </c>
      <c r="C341" s="8" t="s">
        <v>404</v>
      </c>
      <c r="D341" s="7" t="s">
        <v>722</v>
      </c>
      <c r="E341" s="8" t="s">
        <v>744</v>
      </c>
      <c r="F341" s="9">
        <v>5</v>
      </c>
      <c r="G341" s="10" t="s">
        <v>25</v>
      </c>
      <c r="H341" s="8" t="s">
        <v>154</v>
      </c>
      <c r="I341" s="8" t="s">
        <v>155</v>
      </c>
      <c r="J341" s="8" t="s">
        <v>22</v>
      </c>
      <c r="K341" s="8"/>
      <c r="L341" s="11">
        <v>2.7</v>
      </c>
      <c r="M341" s="11">
        <v>4.7</v>
      </c>
      <c r="N341" s="11">
        <v>4.0999999999999996</v>
      </c>
      <c r="O341" s="11">
        <f>L341*4</f>
        <v>10.8</v>
      </c>
      <c r="P341" s="11">
        <f>M341*4</f>
        <v>18.8</v>
      </c>
      <c r="Q341" s="11">
        <f>N341*4</f>
        <v>16.399999999999999</v>
      </c>
      <c r="R341" s="12">
        <f>(4/3)*3.14*(Q341/2)^3</f>
        <v>2308.3940266666664</v>
      </c>
      <c r="S341" s="12">
        <f>R341/1000</f>
        <v>2.3083940266666665</v>
      </c>
    </row>
    <row r="342" spans="1:19" x14ac:dyDescent="0.25">
      <c r="A342" s="7">
        <v>343</v>
      </c>
      <c r="B342" s="8" t="s">
        <v>242</v>
      </c>
      <c r="C342" s="8" t="s">
        <v>622</v>
      </c>
      <c r="D342" s="7" t="s">
        <v>722</v>
      </c>
      <c r="E342" s="8" t="s">
        <v>744</v>
      </c>
      <c r="F342" s="9">
        <v>10</v>
      </c>
      <c r="G342" s="10" t="s">
        <v>25</v>
      </c>
      <c r="H342" s="8" t="s">
        <v>154</v>
      </c>
      <c r="I342" s="8" t="s">
        <v>155</v>
      </c>
      <c r="J342" s="8" t="s">
        <v>22</v>
      </c>
      <c r="K342" s="8"/>
      <c r="L342" s="11">
        <v>2.2999999999999998</v>
      </c>
      <c r="M342" s="11">
        <v>3.7</v>
      </c>
      <c r="N342" s="11">
        <v>3.1</v>
      </c>
      <c r="O342" s="11">
        <f>L342*4</f>
        <v>9.1999999999999993</v>
      </c>
      <c r="P342" s="11">
        <f>M342*4</f>
        <v>14.8</v>
      </c>
      <c r="Q342" s="11">
        <f>N342*4</f>
        <v>12.4</v>
      </c>
      <c r="R342" s="12">
        <f>4/3*3.14*(Q342/2)*(Q342/2)*(P342/2)</f>
        <v>1190.9224533333336</v>
      </c>
      <c r="S342" s="12">
        <f>R342/1000</f>
        <v>1.1909224533333336</v>
      </c>
    </row>
    <row r="343" spans="1:19" x14ac:dyDescent="0.25">
      <c r="A343" s="7">
        <v>344</v>
      </c>
      <c r="B343" s="8" t="s">
        <v>242</v>
      </c>
      <c r="C343" s="8" t="s">
        <v>405</v>
      </c>
      <c r="D343" s="7" t="s">
        <v>722</v>
      </c>
      <c r="E343" s="8" t="s">
        <v>744</v>
      </c>
      <c r="F343" s="9">
        <v>5</v>
      </c>
      <c r="G343" s="10" t="s">
        <v>25</v>
      </c>
      <c r="H343" s="8" t="s">
        <v>20</v>
      </c>
      <c r="I343" s="8" t="s">
        <v>21</v>
      </c>
      <c r="J343" s="8" t="s">
        <v>132</v>
      </c>
      <c r="K343" s="8" t="s">
        <v>406</v>
      </c>
      <c r="L343" s="11">
        <v>3.2</v>
      </c>
      <c r="M343" s="11">
        <v>3.2</v>
      </c>
      <c r="N343" s="11">
        <v>4.2</v>
      </c>
      <c r="O343" s="11">
        <f>L343*4</f>
        <v>12.8</v>
      </c>
      <c r="P343" s="11">
        <f>M343*4</f>
        <v>12.8</v>
      </c>
      <c r="Q343" s="11">
        <f>N343*4</f>
        <v>16.8</v>
      </c>
      <c r="R343" s="12">
        <f>(4/3)*3.14*(Q343/2)^3</f>
        <v>2481.45408</v>
      </c>
      <c r="S343" s="12">
        <f>R343/1000</f>
        <v>2.4814540799999998</v>
      </c>
    </row>
    <row r="344" spans="1:19" x14ac:dyDescent="0.25">
      <c r="A344" s="7">
        <v>345</v>
      </c>
      <c r="B344" s="8" t="s">
        <v>242</v>
      </c>
      <c r="C344" s="8" t="s">
        <v>523</v>
      </c>
      <c r="D344" s="7" t="s">
        <v>722</v>
      </c>
      <c r="E344" s="8" t="s">
        <v>744</v>
      </c>
      <c r="F344" s="9">
        <v>6</v>
      </c>
      <c r="G344" s="10" t="s">
        <v>33</v>
      </c>
      <c r="H344" s="8" t="s">
        <v>26</v>
      </c>
      <c r="I344" s="8" t="s">
        <v>27</v>
      </c>
      <c r="J344" s="8" t="s">
        <v>22</v>
      </c>
      <c r="K344" s="8"/>
      <c r="L344" s="11">
        <v>2.9</v>
      </c>
      <c r="M344" s="11">
        <v>8.3000000000000007</v>
      </c>
      <c r="N344" s="11">
        <v>7.2</v>
      </c>
      <c r="O344" s="11">
        <f>L344*4</f>
        <v>11.6</v>
      </c>
      <c r="P344" s="11">
        <f>M344*4</f>
        <v>33.200000000000003</v>
      </c>
      <c r="Q344" s="11">
        <f>N344*4</f>
        <v>28.8</v>
      </c>
      <c r="R344" s="12">
        <f>(4/3)*3.14*(Q344/2)^3</f>
        <v>12501.319680000001</v>
      </c>
      <c r="S344" s="12">
        <f>R344/1000</f>
        <v>12.50131968</v>
      </c>
    </row>
    <row r="345" spans="1:19" x14ac:dyDescent="0.25">
      <c r="A345" s="7">
        <v>346</v>
      </c>
      <c r="B345" s="8" t="s">
        <v>242</v>
      </c>
      <c r="C345" s="8" t="s">
        <v>244</v>
      </c>
      <c r="D345" s="7" t="s">
        <v>722</v>
      </c>
      <c r="E345" s="8" t="s">
        <v>744</v>
      </c>
      <c r="F345" s="9">
        <v>4</v>
      </c>
      <c r="G345" s="10" t="s">
        <v>19</v>
      </c>
      <c r="H345" s="8" t="s">
        <v>26</v>
      </c>
      <c r="I345" s="8" t="s">
        <v>27</v>
      </c>
      <c r="J345" s="8" t="s">
        <v>22</v>
      </c>
      <c r="K345" s="8"/>
      <c r="L345" s="11">
        <v>3.7</v>
      </c>
      <c r="M345" s="11">
        <v>2.8</v>
      </c>
      <c r="N345" s="11">
        <v>3.7</v>
      </c>
      <c r="O345" s="11">
        <f>L345*4</f>
        <v>14.8</v>
      </c>
      <c r="P345" s="11">
        <f>M345*4</f>
        <v>11.2</v>
      </c>
      <c r="Q345" s="11">
        <f>N345*4</f>
        <v>14.8</v>
      </c>
      <c r="R345" s="12">
        <f>2/3*3.14*(Q345/2)^3</f>
        <v>848.26890666666679</v>
      </c>
      <c r="S345" s="12">
        <f>R345/1000</f>
        <v>0.84826890666666677</v>
      </c>
    </row>
    <row r="346" spans="1:19" x14ac:dyDescent="0.25">
      <c r="A346" s="7">
        <v>347</v>
      </c>
      <c r="B346" s="8" t="s">
        <v>242</v>
      </c>
      <c r="C346" s="8" t="s">
        <v>407</v>
      </c>
      <c r="D346" s="7" t="s">
        <v>722</v>
      </c>
      <c r="E346" s="8" t="s">
        <v>744</v>
      </c>
      <c r="F346" s="9">
        <v>5</v>
      </c>
      <c r="G346" s="10" t="s">
        <v>19</v>
      </c>
      <c r="H346" s="8" t="s">
        <v>154</v>
      </c>
      <c r="I346" s="8" t="s">
        <v>155</v>
      </c>
      <c r="J346" s="8" t="s">
        <v>22</v>
      </c>
      <c r="K346" s="8"/>
      <c r="L346" s="11">
        <v>3</v>
      </c>
      <c r="M346" s="11">
        <v>2.7</v>
      </c>
      <c r="N346" s="11">
        <v>3.1</v>
      </c>
      <c r="O346" s="11">
        <f>L346*4</f>
        <v>12</v>
      </c>
      <c r="P346" s="11">
        <f>M346*4</f>
        <v>10.8</v>
      </c>
      <c r="Q346" s="11">
        <f>N346*4</f>
        <v>12.4</v>
      </c>
      <c r="R346" s="12">
        <f>(4/3)*3.14*(Q346/2)^3</f>
        <v>997.79989333333344</v>
      </c>
      <c r="S346" s="12">
        <f>R346/1000</f>
        <v>0.99779989333333341</v>
      </c>
    </row>
    <row r="347" spans="1:19" x14ac:dyDescent="0.25">
      <c r="A347" s="7">
        <v>348</v>
      </c>
      <c r="B347" s="8" t="s">
        <v>242</v>
      </c>
      <c r="C347" s="8" t="s">
        <v>408</v>
      </c>
      <c r="D347" s="7" t="s">
        <v>722</v>
      </c>
      <c r="E347" s="8" t="s">
        <v>744</v>
      </c>
      <c r="F347" s="9">
        <v>5</v>
      </c>
      <c r="G347" s="10" t="s">
        <v>33</v>
      </c>
      <c r="H347" s="8" t="s">
        <v>86</v>
      </c>
      <c r="I347" s="8" t="s">
        <v>86</v>
      </c>
      <c r="J347" s="8" t="s">
        <v>22</v>
      </c>
      <c r="K347" s="8"/>
      <c r="L347" s="11">
        <v>4.9000000000000004</v>
      </c>
      <c r="M347" s="11">
        <v>4.3</v>
      </c>
      <c r="N347" s="11">
        <v>6.1</v>
      </c>
      <c r="O347" s="11">
        <f>L347*4</f>
        <v>19.600000000000001</v>
      </c>
      <c r="P347" s="11">
        <f>M347*4</f>
        <v>17.2</v>
      </c>
      <c r="Q347" s="11">
        <f>N347*4</f>
        <v>24.4</v>
      </c>
      <c r="R347" s="12">
        <f>(4/3)*3.14*(Q347/2)^3</f>
        <v>7602.3502933333311</v>
      </c>
      <c r="S347" s="12">
        <f>R347/1000</f>
        <v>7.6023502933333313</v>
      </c>
    </row>
    <row r="348" spans="1:19" x14ac:dyDescent="0.25">
      <c r="A348" s="7">
        <v>349</v>
      </c>
      <c r="B348" s="8" t="s">
        <v>242</v>
      </c>
      <c r="C348" s="8" t="s">
        <v>565</v>
      </c>
      <c r="D348" s="7" t="s">
        <v>722</v>
      </c>
      <c r="E348" s="8" t="s">
        <v>744</v>
      </c>
      <c r="F348" s="9">
        <v>7</v>
      </c>
      <c r="G348" s="10" t="s">
        <v>25</v>
      </c>
      <c r="H348" s="8" t="s">
        <v>86</v>
      </c>
      <c r="I348" s="8" t="s">
        <v>86</v>
      </c>
      <c r="J348" s="8" t="s">
        <v>22</v>
      </c>
      <c r="K348" s="8"/>
      <c r="L348" s="11">
        <v>4</v>
      </c>
      <c r="M348" s="11">
        <v>2.6</v>
      </c>
      <c r="N348" s="11">
        <v>4.5999999999999996</v>
      </c>
      <c r="O348" s="11">
        <f>L348*4</f>
        <v>16</v>
      </c>
      <c r="P348" s="11">
        <f>M348*4</f>
        <v>10.4</v>
      </c>
      <c r="Q348" s="11">
        <f>N348*4</f>
        <v>18.399999999999999</v>
      </c>
      <c r="R348" s="12">
        <f>4/3*3.14*(Q348/2)*(Q348/2)*(P348/2)</f>
        <v>1842.6692266666662</v>
      </c>
      <c r="S348" s="12">
        <f>R348/1000</f>
        <v>1.8426692266666662</v>
      </c>
    </row>
    <row r="349" spans="1:19" x14ac:dyDescent="0.25">
      <c r="A349" s="7">
        <v>350</v>
      </c>
      <c r="B349" s="8" t="s">
        <v>73</v>
      </c>
      <c r="C349" s="8" t="s">
        <v>245</v>
      </c>
      <c r="D349" s="7" t="s">
        <v>723</v>
      </c>
      <c r="E349" s="8" t="s">
        <v>745</v>
      </c>
      <c r="F349" s="9">
        <v>4</v>
      </c>
      <c r="G349" s="10" t="s">
        <v>19</v>
      </c>
      <c r="H349" s="8" t="s">
        <v>54</v>
      </c>
      <c r="I349" s="8" t="s">
        <v>55</v>
      </c>
      <c r="J349" s="8" t="s">
        <v>22</v>
      </c>
      <c r="K349" s="8"/>
      <c r="L349" s="11">
        <v>2.2000000000000002</v>
      </c>
      <c r="M349" s="11">
        <v>1.5</v>
      </c>
      <c r="N349" s="11">
        <v>2.2000000000000002</v>
      </c>
      <c r="O349" s="11">
        <f>L349*4</f>
        <v>8.8000000000000007</v>
      </c>
      <c r="P349" s="11">
        <f>M349*4</f>
        <v>6</v>
      </c>
      <c r="Q349" s="11">
        <f>N349*4</f>
        <v>8.8000000000000007</v>
      </c>
      <c r="R349" s="12">
        <f>2/3*3.14*(Q349/2)^3</f>
        <v>178.31850666666671</v>
      </c>
      <c r="S349" s="12">
        <f>R349/1000</f>
        <v>0.17831850666666671</v>
      </c>
    </row>
    <row r="350" spans="1:19" x14ac:dyDescent="0.25">
      <c r="A350" s="7">
        <v>351</v>
      </c>
      <c r="B350" s="8" t="s">
        <v>73</v>
      </c>
      <c r="C350" s="8" t="s">
        <v>246</v>
      </c>
      <c r="D350" s="7" t="s">
        <v>723</v>
      </c>
      <c r="E350" s="8" t="s">
        <v>745</v>
      </c>
      <c r="F350" s="9">
        <v>4</v>
      </c>
      <c r="G350" s="10" t="s">
        <v>19</v>
      </c>
      <c r="H350" s="8" t="s">
        <v>20</v>
      </c>
      <c r="I350" s="8" t="s">
        <v>21</v>
      </c>
      <c r="J350" s="8" t="s">
        <v>22</v>
      </c>
      <c r="K350" s="8"/>
      <c r="L350" s="11">
        <v>3.2</v>
      </c>
      <c r="M350" s="11">
        <v>2</v>
      </c>
      <c r="N350" s="11">
        <v>3.2</v>
      </c>
      <c r="O350" s="11">
        <f>L350*4</f>
        <v>12.8</v>
      </c>
      <c r="P350" s="11">
        <f>M350*4</f>
        <v>8</v>
      </c>
      <c r="Q350" s="11">
        <f>N350*4</f>
        <v>12.8</v>
      </c>
      <c r="R350" s="12">
        <f>2/3*3.14*(Q350/2)^3</f>
        <v>548.75477333333345</v>
      </c>
      <c r="S350" s="12">
        <f>R350/1000</f>
        <v>0.54875477333333345</v>
      </c>
    </row>
    <row r="351" spans="1:19" x14ac:dyDescent="0.25">
      <c r="A351" s="7">
        <v>352</v>
      </c>
      <c r="B351" s="8" t="s">
        <v>73</v>
      </c>
      <c r="C351" s="8" t="s">
        <v>247</v>
      </c>
      <c r="D351" s="7" t="s">
        <v>724</v>
      </c>
      <c r="E351" s="8" t="s">
        <v>744</v>
      </c>
      <c r="F351" s="9">
        <v>4</v>
      </c>
      <c r="G351" s="10" t="s">
        <v>19</v>
      </c>
      <c r="H351" s="8" t="s">
        <v>20</v>
      </c>
      <c r="I351" s="8" t="s">
        <v>21</v>
      </c>
      <c r="J351" s="8" t="s">
        <v>22</v>
      </c>
      <c r="K351" s="8"/>
      <c r="L351" s="11">
        <v>2.1</v>
      </c>
      <c r="M351" s="11">
        <v>2</v>
      </c>
      <c r="N351" s="11">
        <v>2.4</v>
      </c>
      <c r="O351" s="11">
        <f>L351*4</f>
        <v>8.4</v>
      </c>
      <c r="P351" s="11">
        <f>M351*4</f>
        <v>8</v>
      </c>
      <c r="Q351" s="11">
        <f>N351*4</f>
        <v>9.6</v>
      </c>
      <c r="R351" s="12">
        <f>2/3*3.14*(Q351/2)^3</f>
        <v>231.50592</v>
      </c>
      <c r="S351" s="12">
        <f>R351/1000</f>
        <v>0.23150592</v>
      </c>
    </row>
    <row r="352" spans="1:19" x14ac:dyDescent="0.25">
      <c r="A352" s="7">
        <v>353</v>
      </c>
      <c r="B352" s="8" t="s">
        <v>73</v>
      </c>
      <c r="C352" s="8" t="s">
        <v>566</v>
      </c>
      <c r="D352" s="7" t="s">
        <v>724</v>
      </c>
      <c r="E352" s="8" t="s">
        <v>744</v>
      </c>
      <c r="F352" s="9">
        <v>7</v>
      </c>
      <c r="G352" s="10" t="s">
        <v>19</v>
      </c>
      <c r="H352" s="8" t="s">
        <v>20</v>
      </c>
      <c r="I352" s="8" t="s">
        <v>21</v>
      </c>
      <c r="J352" s="8" t="s">
        <v>22</v>
      </c>
      <c r="K352" s="8"/>
      <c r="L352" s="11">
        <v>2.5</v>
      </c>
      <c r="M352" s="11">
        <v>2.4</v>
      </c>
      <c r="N352" s="11">
        <v>3.5</v>
      </c>
      <c r="O352" s="11">
        <f>L352*4</f>
        <v>10</v>
      </c>
      <c r="P352" s="11">
        <f>M352*4</f>
        <v>9.6</v>
      </c>
      <c r="Q352" s="11">
        <f>N352*4</f>
        <v>14</v>
      </c>
      <c r="R352" s="12">
        <f>4/3*3.14*(Q352/2)*(Q352/2)*(P352/2)</f>
        <v>984.70399999999984</v>
      </c>
      <c r="S352" s="12">
        <f>R352/1000</f>
        <v>0.9847039999999998</v>
      </c>
    </row>
    <row r="353" spans="1:19" x14ac:dyDescent="0.25">
      <c r="A353" s="7">
        <v>354</v>
      </c>
      <c r="B353" s="8" t="s">
        <v>73</v>
      </c>
      <c r="C353" s="8" t="s">
        <v>567</v>
      </c>
      <c r="D353" s="7" t="s">
        <v>724</v>
      </c>
      <c r="E353" s="8" t="s">
        <v>744</v>
      </c>
      <c r="F353" s="9">
        <v>7</v>
      </c>
      <c r="G353" s="10" t="s">
        <v>19</v>
      </c>
      <c r="H353" s="8" t="s">
        <v>20</v>
      </c>
      <c r="I353" s="8" t="s">
        <v>21</v>
      </c>
      <c r="J353" s="8" t="s">
        <v>237</v>
      </c>
      <c r="K353" s="8"/>
      <c r="L353" s="11">
        <v>2.2000000000000002</v>
      </c>
      <c r="M353" s="11">
        <v>2.7</v>
      </c>
      <c r="N353" s="11">
        <v>3.2</v>
      </c>
      <c r="O353" s="11">
        <f>L353*4</f>
        <v>8.8000000000000007</v>
      </c>
      <c r="P353" s="11">
        <f>M353*4</f>
        <v>10.8</v>
      </c>
      <c r="Q353" s="11">
        <f>N353*4</f>
        <v>12.8</v>
      </c>
      <c r="R353" s="12">
        <f>4/3*3.14*(Q353/2)*(Q353/2)*(P353/2)</f>
        <v>926.02368000000013</v>
      </c>
      <c r="S353" s="12">
        <f>R353/1000</f>
        <v>0.92602368000000013</v>
      </c>
    </row>
    <row r="354" spans="1:19" x14ac:dyDescent="0.25">
      <c r="A354" s="7">
        <v>355</v>
      </c>
      <c r="B354" s="8" t="s">
        <v>73</v>
      </c>
      <c r="C354" s="8" t="s">
        <v>568</v>
      </c>
      <c r="D354" s="7" t="s">
        <v>724</v>
      </c>
      <c r="E354" s="8" t="s">
        <v>744</v>
      </c>
      <c r="F354" s="9">
        <v>7</v>
      </c>
      <c r="G354" s="10" t="s">
        <v>19</v>
      </c>
      <c r="H354" s="8" t="s">
        <v>20</v>
      </c>
      <c r="I354" s="8" t="s">
        <v>21</v>
      </c>
      <c r="J354" s="8" t="s">
        <v>22</v>
      </c>
      <c r="K354" s="8"/>
      <c r="L354" s="11">
        <v>2.5</v>
      </c>
      <c r="M354" s="11">
        <v>1.9</v>
      </c>
      <c r="N354" s="11">
        <v>3.4</v>
      </c>
      <c r="O354" s="11">
        <f>L354*4</f>
        <v>10</v>
      </c>
      <c r="P354" s="11">
        <f>M354*4</f>
        <v>7.6</v>
      </c>
      <c r="Q354" s="11">
        <f>N354*4</f>
        <v>13.6</v>
      </c>
      <c r="R354" s="12">
        <f>4/3*3.14*(Q354/2)*(Q354/2)*(P354/2)</f>
        <v>735.6475733333333</v>
      </c>
      <c r="S354" s="12">
        <f>R354/1000</f>
        <v>0.7356475733333333</v>
      </c>
    </row>
    <row r="355" spans="1:19" x14ac:dyDescent="0.25">
      <c r="A355" s="7">
        <v>356</v>
      </c>
      <c r="B355" s="8" t="s">
        <v>73</v>
      </c>
      <c r="C355" s="8" t="s">
        <v>409</v>
      </c>
      <c r="D355" s="7" t="s">
        <v>724</v>
      </c>
      <c r="E355" s="8" t="s">
        <v>744</v>
      </c>
      <c r="F355" s="9">
        <v>5</v>
      </c>
      <c r="G355" s="10" t="s">
        <v>33</v>
      </c>
      <c r="H355" s="8" t="s">
        <v>26</v>
      </c>
      <c r="I355" s="8" t="s">
        <v>27</v>
      </c>
      <c r="J355" s="8" t="s">
        <v>237</v>
      </c>
      <c r="K355" s="8"/>
      <c r="L355" s="11">
        <v>6</v>
      </c>
      <c r="M355" s="11">
        <v>4.7</v>
      </c>
      <c r="N355" s="11">
        <v>6.5</v>
      </c>
      <c r="O355" s="11">
        <f>L355*4</f>
        <v>24</v>
      </c>
      <c r="P355" s="11">
        <f>M355*4</f>
        <v>18.8</v>
      </c>
      <c r="Q355" s="11">
        <f>N355*4</f>
        <v>26</v>
      </c>
      <c r="R355" s="12">
        <f>(4/3)*3.14*(Q355/2)^3</f>
        <v>9198.1066666666666</v>
      </c>
      <c r="S355" s="12">
        <f>R355/1000</f>
        <v>9.198106666666666</v>
      </c>
    </row>
    <row r="356" spans="1:19" x14ac:dyDescent="0.25">
      <c r="A356" s="7">
        <v>357</v>
      </c>
      <c r="B356" s="8" t="s">
        <v>73</v>
      </c>
      <c r="C356" s="8" t="s">
        <v>410</v>
      </c>
      <c r="D356" s="7" t="s">
        <v>724</v>
      </c>
      <c r="E356" s="8" t="s">
        <v>744</v>
      </c>
      <c r="F356" s="9">
        <v>5</v>
      </c>
      <c r="G356" s="10" t="s">
        <v>25</v>
      </c>
      <c r="H356" s="8" t="s">
        <v>411</v>
      </c>
      <c r="I356" s="8" t="s">
        <v>313</v>
      </c>
      <c r="J356" s="8" t="s">
        <v>22</v>
      </c>
      <c r="K356" s="8"/>
      <c r="L356" s="11">
        <v>3.4</v>
      </c>
      <c r="M356" s="11">
        <v>3.3</v>
      </c>
      <c r="N356" s="11">
        <v>3.6</v>
      </c>
      <c r="O356" s="11">
        <f>L356*4</f>
        <v>13.6</v>
      </c>
      <c r="P356" s="11">
        <f>M356*4</f>
        <v>13.2</v>
      </c>
      <c r="Q356" s="11">
        <f>N356*4</f>
        <v>14.4</v>
      </c>
      <c r="R356" s="12">
        <f>(4/3)*3.14*(Q356/2)^3</f>
        <v>1562.6649600000001</v>
      </c>
      <c r="S356" s="12">
        <f>R356/1000</f>
        <v>1.56266496</v>
      </c>
    </row>
    <row r="357" spans="1:19" x14ac:dyDescent="0.25">
      <c r="A357" s="7">
        <v>358</v>
      </c>
      <c r="B357" s="8" t="s">
        <v>73</v>
      </c>
      <c r="C357" s="8" t="s">
        <v>412</v>
      </c>
      <c r="D357" s="7" t="s">
        <v>724</v>
      </c>
      <c r="E357" s="8" t="s">
        <v>744</v>
      </c>
      <c r="F357" s="9">
        <v>5</v>
      </c>
      <c r="G357" s="10" t="s">
        <v>25</v>
      </c>
      <c r="H357" s="8" t="s">
        <v>313</v>
      </c>
      <c r="I357" s="8" t="s">
        <v>313</v>
      </c>
      <c r="J357" s="8" t="s">
        <v>22</v>
      </c>
      <c r="K357" s="8"/>
      <c r="L357" s="11">
        <v>3.1</v>
      </c>
      <c r="M357" s="11">
        <v>3.5</v>
      </c>
      <c r="N357" s="11">
        <v>4.2</v>
      </c>
      <c r="O357" s="11">
        <f>L357*4</f>
        <v>12.4</v>
      </c>
      <c r="P357" s="11">
        <f>M357*4</f>
        <v>14</v>
      </c>
      <c r="Q357" s="11">
        <f>N357*4</f>
        <v>16.8</v>
      </c>
      <c r="R357" s="12">
        <f>(4/3)*3.14*(Q357/2)^3</f>
        <v>2481.45408</v>
      </c>
      <c r="S357" s="12">
        <f>R357/1000</f>
        <v>2.4814540799999998</v>
      </c>
    </row>
    <row r="358" spans="1:19" x14ac:dyDescent="0.25">
      <c r="A358" s="7">
        <v>359</v>
      </c>
      <c r="B358" s="8" t="s">
        <v>73</v>
      </c>
      <c r="C358" s="8" t="s">
        <v>248</v>
      </c>
      <c r="D358" s="7" t="s">
        <v>724</v>
      </c>
      <c r="E358" s="8" t="s">
        <v>744</v>
      </c>
      <c r="F358" s="9">
        <v>4</v>
      </c>
      <c r="G358" s="10" t="s">
        <v>19</v>
      </c>
      <c r="H358" s="8" t="s">
        <v>154</v>
      </c>
      <c r="I358" s="8" t="s">
        <v>155</v>
      </c>
      <c r="J358" s="8" t="s">
        <v>22</v>
      </c>
      <c r="K358" s="8"/>
      <c r="L358" s="11">
        <v>2.8</v>
      </c>
      <c r="M358" s="11">
        <v>1.8</v>
      </c>
      <c r="N358" s="11">
        <v>2.8</v>
      </c>
      <c r="O358" s="11">
        <f>L358*4</f>
        <v>11.2</v>
      </c>
      <c r="P358" s="11">
        <f>M358*4</f>
        <v>7.2</v>
      </c>
      <c r="Q358" s="11">
        <f>N358*4</f>
        <v>11.2</v>
      </c>
      <c r="R358" s="12">
        <f>2/3*3.14*(Q358/2)^3</f>
        <v>367.62282666666658</v>
      </c>
      <c r="S358" s="12">
        <f>R358/1000</f>
        <v>0.36762282666666657</v>
      </c>
    </row>
    <row r="359" spans="1:19" x14ac:dyDescent="0.25">
      <c r="A359" s="7">
        <v>360</v>
      </c>
      <c r="B359" s="8" t="s">
        <v>73</v>
      </c>
      <c r="C359" s="8" t="s">
        <v>74</v>
      </c>
      <c r="D359" s="7" t="s">
        <v>724</v>
      </c>
      <c r="E359" s="8" t="s">
        <v>744</v>
      </c>
      <c r="F359" s="9">
        <v>1</v>
      </c>
      <c r="G359" s="10" t="s">
        <v>19</v>
      </c>
      <c r="H359" s="8" t="s">
        <v>20</v>
      </c>
      <c r="I359" s="8" t="s">
        <v>21</v>
      </c>
      <c r="J359" s="8" t="s">
        <v>22</v>
      </c>
      <c r="K359" s="8"/>
      <c r="L359" s="11">
        <v>3.5</v>
      </c>
      <c r="M359" s="11">
        <v>1.1000000000000001</v>
      </c>
      <c r="N359" s="11">
        <v>3.5</v>
      </c>
      <c r="O359" s="11">
        <f>L359*4</f>
        <v>14</v>
      </c>
      <c r="P359" s="11">
        <f>M359*4</f>
        <v>4.4000000000000004</v>
      </c>
      <c r="Q359" s="11">
        <f>N359*4</f>
        <v>14</v>
      </c>
      <c r="R359" s="12">
        <f>(1/3)*3.14*P359^2*(3*(Q359/2)-P359)</f>
        <v>336.37354666666675</v>
      </c>
      <c r="S359" s="12">
        <f>R359/1000</f>
        <v>0.33637354666666675</v>
      </c>
    </row>
    <row r="360" spans="1:19" x14ac:dyDescent="0.25">
      <c r="A360" s="7">
        <v>361</v>
      </c>
      <c r="B360" s="8" t="s">
        <v>73</v>
      </c>
      <c r="C360" s="8" t="s">
        <v>569</v>
      </c>
      <c r="D360" s="7" t="s">
        <v>724</v>
      </c>
      <c r="E360" s="8" t="s">
        <v>744</v>
      </c>
      <c r="F360" s="9">
        <v>7</v>
      </c>
      <c r="G360" s="10" t="s">
        <v>25</v>
      </c>
      <c r="H360" s="8" t="s">
        <v>26</v>
      </c>
      <c r="I360" s="8" t="s">
        <v>27</v>
      </c>
      <c r="J360" s="8" t="s">
        <v>22</v>
      </c>
      <c r="K360" s="8"/>
      <c r="L360" s="11">
        <v>5.3</v>
      </c>
      <c r="M360" s="11">
        <v>3.2</v>
      </c>
      <c r="N360" s="11">
        <v>6.9</v>
      </c>
      <c r="O360" s="11">
        <f>L360*4</f>
        <v>21.2</v>
      </c>
      <c r="P360" s="11">
        <f>M360*4</f>
        <v>12.8</v>
      </c>
      <c r="Q360" s="11">
        <f>N360*4</f>
        <v>27.6</v>
      </c>
      <c r="R360" s="12">
        <f>4/3*3.14*(Q360/2)*(Q360/2)*(P360/2)</f>
        <v>5102.7763200000009</v>
      </c>
      <c r="S360" s="12">
        <f>R360/1000</f>
        <v>5.1027763200000011</v>
      </c>
    </row>
    <row r="361" spans="1:19" x14ac:dyDescent="0.25">
      <c r="A361" s="7">
        <v>362</v>
      </c>
      <c r="B361" s="8" t="s">
        <v>73</v>
      </c>
      <c r="C361" s="8" t="s">
        <v>623</v>
      </c>
      <c r="D361" s="7" t="s">
        <v>724</v>
      </c>
      <c r="E361" s="8" t="s">
        <v>744</v>
      </c>
      <c r="F361" s="9">
        <v>10</v>
      </c>
      <c r="G361" s="10" t="s">
        <v>25</v>
      </c>
      <c r="H361" s="8" t="s">
        <v>26</v>
      </c>
      <c r="I361" s="8" t="s">
        <v>27</v>
      </c>
      <c r="J361" s="8" t="s">
        <v>22</v>
      </c>
      <c r="K361" s="8"/>
      <c r="L361" s="11">
        <v>2</v>
      </c>
      <c r="M361" s="11">
        <v>3.9</v>
      </c>
      <c r="N361" s="11">
        <v>3.6</v>
      </c>
      <c r="O361" s="11">
        <f>L361*4</f>
        <v>8</v>
      </c>
      <c r="P361" s="11">
        <f>M361*4</f>
        <v>15.6</v>
      </c>
      <c r="Q361" s="11">
        <f>N361*4</f>
        <v>14.4</v>
      </c>
      <c r="R361" s="12">
        <f>4/3*3.14*(Q361/2)*(Q361/2)*(P361/2)</f>
        <v>1692.8870400000001</v>
      </c>
      <c r="S361" s="12">
        <f>R361/1000</f>
        <v>1.69288704</v>
      </c>
    </row>
    <row r="362" spans="1:19" x14ac:dyDescent="0.25">
      <c r="A362" s="7">
        <v>363</v>
      </c>
      <c r="B362" s="8" t="s">
        <v>73</v>
      </c>
      <c r="C362" s="8" t="s">
        <v>413</v>
      </c>
      <c r="D362" s="7" t="s">
        <v>724</v>
      </c>
      <c r="E362" s="8" t="s">
        <v>744</v>
      </c>
      <c r="F362" s="9">
        <v>5</v>
      </c>
      <c r="G362" s="10" t="s">
        <v>25</v>
      </c>
      <c r="H362" s="8" t="s">
        <v>411</v>
      </c>
      <c r="I362" s="8" t="s">
        <v>313</v>
      </c>
      <c r="J362" s="8" t="s">
        <v>22</v>
      </c>
      <c r="K362" s="8"/>
      <c r="L362" s="11">
        <v>3.3</v>
      </c>
      <c r="M362" s="11">
        <v>3.8</v>
      </c>
      <c r="N362" s="11">
        <v>3.9</v>
      </c>
      <c r="O362" s="11">
        <f>L362*4</f>
        <v>13.2</v>
      </c>
      <c r="P362" s="11">
        <f>M362*4</f>
        <v>15.2</v>
      </c>
      <c r="Q362" s="11">
        <f>N362*4</f>
        <v>15.6</v>
      </c>
      <c r="R362" s="12">
        <f>(4/3)*3.14*(Q362/2)^3</f>
        <v>1986.7910399999998</v>
      </c>
      <c r="S362" s="12">
        <f>R362/1000</f>
        <v>1.9867910399999997</v>
      </c>
    </row>
    <row r="363" spans="1:19" x14ac:dyDescent="0.25">
      <c r="A363" s="7">
        <v>364</v>
      </c>
      <c r="B363" s="8" t="s">
        <v>73</v>
      </c>
      <c r="C363" s="8" t="s">
        <v>414</v>
      </c>
      <c r="D363" s="7" t="s">
        <v>724</v>
      </c>
      <c r="E363" s="8" t="s">
        <v>744</v>
      </c>
      <c r="F363" s="9">
        <v>5</v>
      </c>
      <c r="G363" s="10" t="s">
        <v>25</v>
      </c>
      <c r="H363" s="8" t="s">
        <v>411</v>
      </c>
      <c r="I363" s="8" t="s">
        <v>313</v>
      </c>
      <c r="J363" s="8" t="s">
        <v>22</v>
      </c>
      <c r="K363" s="8"/>
      <c r="L363" s="11">
        <v>3.4</v>
      </c>
      <c r="M363" s="11">
        <v>4.5</v>
      </c>
      <c r="N363" s="11">
        <v>4</v>
      </c>
      <c r="O363" s="11">
        <f>L363*4</f>
        <v>13.6</v>
      </c>
      <c r="P363" s="11">
        <f>M363*4</f>
        <v>18</v>
      </c>
      <c r="Q363" s="11">
        <f>N363*4</f>
        <v>16</v>
      </c>
      <c r="R363" s="12">
        <f>(4/3)*3.14*(Q363/2)^3</f>
        <v>2143.5733333333333</v>
      </c>
      <c r="S363" s="12">
        <f>R363/1000</f>
        <v>2.1435733333333333</v>
      </c>
    </row>
    <row r="364" spans="1:19" x14ac:dyDescent="0.25">
      <c r="A364" s="7">
        <v>365</v>
      </c>
      <c r="B364" s="8" t="s">
        <v>73</v>
      </c>
      <c r="C364" s="8" t="s">
        <v>570</v>
      </c>
      <c r="D364" s="7" t="s">
        <v>724</v>
      </c>
      <c r="E364" s="8" t="s">
        <v>744</v>
      </c>
      <c r="F364" s="9">
        <v>7</v>
      </c>
      <c r="G364" s="10" t="s">
        <v>25</v>
      </c>
      <c r="H364" s="8" t="s">
        <v>411</v>
      </c>
      <c r="I364" s="8" t="s">
        <v>313</v>
      </c>
      <c r="J364" s="8" t="s">
        <v>22</v>
      </c>
      <c r="K364" s="8"/>
      <c r="L364" s="11">
        <v>3.5</v>
      </c>
      <c r="M364" s="11">
        <v>3</v>
      </c>
      <c r="N364" s="11">
        <v>4.0999999999999996</v>
      </c>
      <c r="O364" s="11">
        <f>L364*4</f>
        <v>14</v>
      </c>
      <c r="P364" s="11">
        <f>M364*4</f>
        <v>12</v>
      </c>
      <c r="Q364" s="11">
        <f>N364*4</f>
        <v>16.399999999999999</v>
      </c>
      <c r="R364" s="12">
        <f>4/3*3.14*(Q364/2)*(Q364/2)*(P364/2)</f>
        <v>1689.0688</v>
      </c>
      <c r="S364" s="12">
        <f>R364/1000</f>
        <v>1.6890688</v>
      </c>
    </row>
    <row r="365" spans="1:19" x14ac:dyDescent="0.25">
      <c r="A365" s="7">
        <v>366</v>
      </c>
      <c r="B365" s="8" t="s">
        <v>73</v>
      </c>
      <c r="C365" s="8" t="s">
        <v>415</v>
      </c>
      <c r="D365" s="7" t="s">
        <v>724</v>
      </c>
      <c r="E365" s="8" t="s">
        <v>744</v>
      </c>
      <c r="F365" s="9">
        <v>5</v>
      </c>
      <c r="G365" s="10" t="s">
        <v>25</v>
      </c>
      <c r="H365" s="8" t="s">
        <v>154</v>
      </c>
      <c r="I365" s="8" t="s">
        <v>155</v>
      </c>
      <c r="J365" s="8" t="s">
        <v>22</v>
      </c>
      <c r="K365" s="8"/>
      <c r="L365" s="11">
        <v>2.8</v>
      </c>
      <c r="M365" s="11">
        <v>3.7</v>
      </c>
      <c r="N365" s="11">
        <v>3.4</v>
      </c>
      <c r="O365" s="11">
        <f>L365*4</f>
        <v>11.2</v>
      </c>
      <c r="P365" s="11">
        <f>M365*4</f>
        <v>14.8</v>
      </c>
      <c r="Q365" s="11">
        <f>N365*4</f>
        <v>13.6</v>
      </c>
      <c r="R365" s="12">
        <f>(4/3)*3.14*(Q365/2)^3</f>
        <v>1316.4219733333332</v>
      </c>
      <c r="S365" s="12">
        <f>R365/1000</f>
        <v>1.3164219733333331</v>
      </c>
    </row>
    <row r="366" spans="1:19" x14ac:dyDescent="0.25">
      <c r="A366" s="7">
        <v>367</v>
      </c>
      <c r="B366" s="8" t="s">
        <v>73</v>
      </c>
      <c r="C366" s="8" t="s">
        <v>416</v>
      </c>
      <c r="D366" s="7" t="s">
        <v>724</v>
      </c>
      <c r="E366" s="8" t="s">
        <v>744</v>
      </c>
      <c r="F366" s="9">
        <v>5</v>
      </c>
      <c r="G366" s="10" t="s">
        <v>25</v>
      </c>
      <c r="H366" s="8" t="s">
        <v>154</v>
      </c>
      <c r="I366" s="8" t="s">
        <v>155</v>
      </c>
      <c r="J366" s="8" t="s">
        <v>22</v>
      </c>
      <c r="K366" s="8"/>
      <c r="L366" s="11">
        <v>3</v>
      </c>
      <c r="M366" s="11">
        <v>3.3</v>
      </c>
      <c r="N366" s="11">
        <v>3.3</v>
      </c>
      <c r="O366" s="11">
        <f>L366*4</f>
        <v>12</v>
      </c>
      <c r="P366" s="11">
        <f>M366*4</f>
        <v>13.2</v>
      </c>
      <c r="Q366" s="11">
        <f>N366*4</f>
        <v>13.2</v>
      </c>
      <c r="R366" s="12">
        <f>(4/3)*3.14*(Q366/2)^3</f>
        <v>1203.6499199999998</v>
      </c>
      <c r="S366" s="12">
        <f>R366/1000</f>
        <v>1.2036499199999999</v>
      </c>
    </row>
    <row r="367" spans="1:19" x14ac:dyDescent="0.25">
      <c r="A367" s="7">
        <v>368</v>
      </c>
      <c r="B367" s="8" t="s">
        <v>73</v>
      </c>
      <c r="C367" s="8" t="s">
        <v>417</v>
      </c>
      <c r="D367" s="7" t="s">
        <v>724</v>
      </c>
      <c r="E367" s="8" t="s">
        <v>744</v>
      </c>
      <c r="F367" s="9">
        <v>5</v>
      </c>
      <c r="G367" s="10" t="s">
        <v>25</v>
      </c>
      <c r="H367" s="8" t="s">
        <v>26</v>
      </c>
      <c r="I367" s="8" t="s">
        <v>27</v>
      </c>
      <c r="J367" s="8" t="s">
        <v>22</v>
      </c>
      <c r="K367" s="8"/>
      <c r="L367" s="11">
        <v>2.7</v>
      </c>
      <c r="M367" s="11">
        <v>4.8</v>
      </c>
      <c r="N367" s="11">
        <v>4.9000000000000004</v>
      </c>
      <c r="O367" s="11">
        <f>L367*4</f>
        <v>10.8</v>
      </c>
      <c r="P367" s="11">
        <f>M367*4</f>
        <v>19.2</v>
      </c>
      <c r="Q367" s="11">
        <f>N367*4</f>
        <v>19.600000000000001</v>
      </c>
      <c r="R367" s="12">
        <f>(4/3)*3.14*(Q367/2)^3</f>
        <v>3940.4571733333341</v>
      </c>
      <c r="S367" s="12">
        <f>R367/1000</f>
        <v>3.9404571733333342</v>
      </c>
    </row>
    <row r="368" spans="1:19" x14ac:dyDescent="0.25">
      <c r="A368" s="7">
        <v>369</v>
      </c>
      <c r="B368" s="8" t="s">
        <v>73</v>
      </c>
      <c r="C368" s="8" t="s">
        <v>418</v>
      </c>
      <c r="D368" s="7" t="s">
        <v>724</v>
      </c>
      <c r="E368" s="8" t="s">
        <v>744</v>
      </c>
      <c r="F368" s="9">
        <v>5</v>
      </c>
      <c r="G368" s="10" t="s">
        <v>33</v>
      </c>
      <c r="H368" s="8" t="s">
        <v>349</v>
      </c>
      <c r="I368" s="8" t="s">
        <v>155</v>
      </c>
      <c r="J368" s="8" t="s">
        <v>22</v>
      </c>
      <c r="K368" s="8"/>
      <c r="L368" s="11">
        <v>4.4000000000000004</v>
      </c>
      <c r="M368" s="11">
        <v>6.5</v>
      </c>
      <c r="N368" s="11">
        <v>7</v>
      </c>
      <c r="O368" s="11">
        <f>L368*4</f>
        <v>17.600000000000001</v>
      </c>
      <c r="P368" s="11">
        <f>M368*4</f>
        <v>26</v>
      </c>
      <c r="Q368" s="11">
        <f>N368*4</f>
        <v>28</v>
      </c>
      <c r="R368" s="12">
        <f>(4/3)*3.14*(Q368/2)^3</f>
        <v>11488.213333333333</v>
      </c>
      <c r="S368" s="12">
        <f>R368/1000</f>
        <v>11.488213333333332</v>
      </c>
    </row>
    <row r="369" spans="1:19" x14ac:dyDescent="0.25">
      <c r="A369" s="7">
        <v>370</v>
      </c>
      <c r="B369" s="8" t="s">
        <v>73</v>
      </c>
      <c r="C369" s="8" t="s">
        <v>419</v>
      </c>
      <c r="D369" s="7" t="s">
        <v>724</v>
      </c>
      <c r="E369" s="8" t="s">
        <v>744</v>
      </c>
      <c r="F369" s="9">
        <v>5</v>
      </c>
      <c r="G369" s="10" t="s">
        <v>25</v>
      </c>
      <c r="H369" s="8" t="s">
        <v>411</v>
      </c>
      <c r="I369" s="8" t="s">
        <v>313</v>
      </c>
      <c r="J369" s="8" t="s">
        <v>22</v>
      </c>
      <c r="K369" s="8"/>
      <c r="L369" s="11">
        <v>4.2</v>
      </c>
      <c r="M369" s="11">
        <v>7.6</v>
      </c>
      <c r="N369" s="11">
        <v>5.2</v>
      </c>
      <c r="O369" s="11">
        <f>L369*4</f>
        <v>16.8</v>
      </c>
      <c r="P369" s="11">
        <f>M369*4</f>
        <v>30.4</v>
      </c>
      <c r="Q369" s="11">
        <f>N369*4</f>
        <v>20.8</v>
      </c>
      <c r="R369" s="12">
        <f>(4/3)*3.14*(Q369/2)^3</f>
        <v>4709.4306133333339</v>
      </c>
      <c r="S369" s="12">
        <f>R369/1000</f>
        <v>4.7094306133333337</v>
      </c>
    </row>
    <row r="370" spans="1:19" x14ac:dyDescent="0.25">
      <c r="A370" s="7">
        <v>371</v>
      </c>
      <c r="B370" s="8" t="s">
        <v>73</v>
      </c>
      <c r="C370" s="8" t="s">
        <v>571</v>
      </c>
      <c r="D370" s="7" t="s">
        <v>724</v>
      </c>
      <c r="E370" s="8" t="s">
        <v>744</v>
      </c>
      <c r="F370" s="9">
        <v>7</v>
      </c>
      <c r="G370" s="10" t="s">
        <v>25</v>
      </c>
      <c r="H370" s="8" t="s">
        <v>20</v>
      </c>
      <c r="I370" s="8" t="s">
        <v>21</v>
      </c>
      <c r="J370" s="8" t="s">
        <v>22</v>
      </c>
      <c r="K370" s="8"/>
      <c r="L370" s="11">
        <v>3.4</v>
      </c>
      <c r="M370" s="11">
        <v>2.8</v>
      </c>
      <c r="N370" s="11">
        <v>5.0999999999999996</v>
      </c>
      <c r="O370" s="11">
        <f>L370*4</f>
        <v>13.6</v>
      </c>
      <c r="P370" s="11">
        <f>M370*4</f>
        <v>11.2</v>
      </c>
      <c r="Q370" s="11">
        <f>N370*4</f>
        <v>20.399999999999999</v>
      </c>
      <c r="R370" s="12">
        <f>4/3*3.14*(Q370/2)*(Q370/2)*(P370/2)</f>
        <v>2439.2524799999992</v>
      </c>
      <c r="S370" s="12">
        <f>R370/1000</f>
        <v>2.4392524799999991</v>
      </c>
    </row>
    <row r="371" spans="1:19" x14ac:dyDescent="0.25">
      <c r="A371" s="7">
        <v>372</v>
      </c>
      <c r="B371" s="8" t="s">
        <v>73</v>
      </c>
      <c r="C371" s="8" t="s">
        <v>572</v>
      </c>
      <c r="D371" s="7" t="s">
        <v>724</v>
      </c>
      <c r="E371" s="8" t="s">
        <v>744</v>
      </c>
      <c r="F371" s="9">
        <v>7</v>
      </c>
      <c r="G371" s="10" t="s">
        <v>25</v>
      </c>
      <c r="H371" s="8" t="s">
        <v>20</v>
      </c>
      <c r="I371" s="8" t="s">
        <v>21</v>
      </c>
      <c r="J371" s="8" t="s">
        <v>22</v>
      </c>
      <c r="K371" s="8"/>
      <c r="L371" s="11">
        <v>2.9</v>
      </c>
      <c r="M371" s="11">
        <v>2.6</v>
      </c>
      <c r="N371" s="11">
        <v>4.7</v>
      </c>
      <c r="O371" s="11">
        <f>L371*4</f>
        <v>11.6</v>
      </c>
      <c r="P371" s="11">
        <f>M371*4</f>
        <v>10.4</v>
      </c>
      <c r="Q371" s="11">
        <f>N371*4</f>
        <v>18.8</v>
      </c>
      <c r="R371" s="12">
        <f>4/3*3.14*(Q371/2)*(Q371/2)*(P371/2)</f>
        <v>1923.6561066666668</v>
      </c>
      <c r="S371" s="12">
        <f>R371/1000</f>
        <v>1.9236561066666669</v>
      </c>
    </row>
    <row r="372" spans="1:19" x14ac:dyDescent="0.25">
      <c r="A372" s="7">
        <v>373</v>
      </c>
      <c r="B372" s="8" t="s">
        <v>73</v>
      </c>
      <c r="C372" s="8" t="s">
        <v>573</v>
      </c>
      <c r="D372" s="7" t="s">
        <v>724</v>
      </c>
      <c r="E372" s="8" t="s">
        <v>744</v>
      </c>
      <c r="F372" s="9">
        <v>7</v>
      </c>
      <c r="G372" s="10" t="s">
        <v>25</v>
      </c>
      <c r="H372" s="8" t="s">
        <v>154</v>
      </c>
      <c r="I372" s="8" t="s">
        <v>155</v>
      </c>
      <c r="J372" s="8" t="s">
        <v>22</v>
      </c>
      <c r="K372" s="8"/>
      <c r="L372" s="11">
        <v>3.4</v>
      </c>
      <c r="M372" s="11">
        <v>2.7</v>
      </c>
      <c r="N372" s="11">
        <v>4.5</v>
      </c>
      <c r="O372" s="11">
        <f>L372*4</f>
        <v>13.6</v>
      </c>
      <c r="P372" s="11">
        <f>M372*4</f>
        <v>10.8</v>
      </c>
      <c r="Q372" s="11">
        <f>N372*4</f>
        <v>18</v>
      </c>
      <c r="R372" s="12">
        <f>4/3*3.14*(Q372/2)*(Q372/2)*(P372/2)</f>
        <v>1831.248</v>
      </c>
      <c r="S372" s="12">
        <f>R372/1000</f>
        <v>1.831248</v>
      </c>
    </row>
    <row r="373" spans="1:19" x14ac:dyDescent="0.25">
      <c r="A373" s="7">
        <v>374</v>
      </c>
      <c r="B373" s="8" t="s">
        <v>73</v>
      </c>
      <c r="C373" s="8" t="s">
        <v>574</v>
      </c>
      <c r="D373" s="7" t="s">
        <v>724</v>
      </c>
      <c r="E373" s="8" t="s">
        <v>744</v>
      </c>
      <c r="F373" s="9">
        <v>7</v>
      </c>
      <c r="G373" s="10" t="s">
        <v>25</v>
      </c>
      <c r="H373" s="8" t="s">
        <v>154</v>
      </c>
      <c r="I373" s="8" t="s">
        <v>155</v>
      </c>
      <c r="J373" s="8" t="s">
        <v>22</v>
      </c>
      <c r="K373" s="8"/>
      <c r="L373" s="11">
        <v>3.1</v>
      </c>
      <c r="M373" s="11">
        <v>2.5</v>
      </c>
      <c r="N373" s="11">
        <v>4.5</v>
      </c>
      <c r="O373" s="11">
        <f>L373*4</f>
        <v>12.4</v>
      </c>
      <c r="P373" s="11">
        <f>M373*4</f>
        <v>10</v>
      </c>
      <c r="Q373" s="11">
        <f>N373*4</f>
        <v>18</v>
      </c>
      <c r="R373" s="12">
        <f>4/3*3.14*(Q373/2)*(Q373/2)*(P373/2)</f>
        <v>1695.6</v>
      </c>
      <c r="S373" s="12">
        <f>R373/1000</f>
        <v>1.6956</v>
      </c>
    </row>
    <row r="374" spans="1:19" x14ac:dyDescent="0.25">
      <c r="A374" s="7">
        <v>375</v>
      </c>
      <c r="B374" s="8" t="s">
        <v>73</v>
      </c>
      <c r="C374" s="8" t="s">
        <v>420</v>
      </c>
      <c r="D374" s="7" t="s">
        <v>724</v>
      </c>
      <c r="E374" s="8" t="s">
        <v>744</v>
      </c>
      <c r="F374" s="9">
        <v>5</v>
      </c>
      <c r="G374" s="10" t="s">
        <v>25</v>
      </c>
      <c r="H374" s="8" t="s">
        <v>349</v>
      </c>
      <c r="I374" s="8" t="s">
        <v>155</v>
      </c>
      <c r="J374" s="8" t="s">
        <v>22</v>
      </c>
      <c r="K374" s="8"/>
      <c r="L374" s="11">
        <v>2.5</v>
      </c>
      <c r="M374" s="11">
        <v>4.8</v>
      </c>
      <c r="N374" s="11">
        <v>4.7</v>
      </c>
      <c r="O374" s="11">
        <f>L374*4</f>
        <v>10</v>
      </c>
      <c r="P374" s="11">
        <f>M374*4</f>
        <v>19.2</v>
      </c>
      <c r="Q374" s="11">
        <f>N374*4</f>
        <v>18.8</v>
      </c>
      <c r="R374" s="12">
        <f>(4/3)*3.14*(Q374/2)^3</f>
        <v>3477.3783466666673</v>
      </c>
      <c r="S374" s="12">
        <f>R374/1000</f>
        <v>3.4773783466666672</v>
      </c>
    </row>
    <row r="375" spans="1:19" x14ac:dyDescent="0.25">
      <c r="A375" s="7">
        <v>376</v>
      </c>
      <c r="B375" s="8" t="s">
        <v>73</v>
      </c>
      <c r="C375" s="8" t="s">
        <v>524</v>
      </c>
      <c r="D375" s="7" t="s">
        <v>724</v>
      </c>
      <c r="E375" s="8" t="s">
        <v>744</v>
      </c>
      <c r="F375" s="9">
        <v>6</v>
      </c>
      <c r="G375" s="10" t="s">
        <v>25</v>
      </c>
      <c r="H375" s="8" t="s">
        <v>154</v>
      </c>
      <c r="I375" s="8" t="s">
        <v>155</v>
      </c>
      <c r="J375" s="8" t="s">
        <v>22</v>
      </c>
      <c r="K375" s="8"/>
      <c r="L375" s="11">
        <v>2.2000000000000002</v>
      </c>
      <c r="M375" s="11">
        <v>3.7</v>
      </c>
      <c r="N375" s="11">
        <v>4.5</v>
      </c>
      <c r="O375" s="11">
        <f>L375*4</f>
        <v>8.8000000000000007</v>
      </c>
      <c r="P375" s="11">
        <f>M375*4</f>
        <v>14.8</v>
      </c>
      <c r="Q375" s="11">
        <f>N375*4</f>
        <v>18</v>
      </c>
      <c r="R375" s="12">
        <f>(4/3)*3.14*(Q375/2)^3</f>
        <v>3052.08</v>
      </c>
      <c r="S375" s="12">
        <f>R375/1000</f>
        <v>3.0520800000000001</v>
      </c>
    </row>
    <row r="376" spans="1:19" x14ac:dyDescent="0.25">
      <c r="A376" s="7">
        <v>377</v>
      </c>
      <c r="B376" s="8" t="s">
        <v>73</v>
      </c>
      <c r="C376" s="8" t="s">
        <v>249</v>
      </c>
      <c r="D376" s="7" t="s">
        <v>724</v>
      </c>
      <c r="E376" s="8" t="s">
        <v>744</v>
      </c>
      <c r="F376" s="9">
        <v>4</v>
      </c>
      <c r="G376" s="10" t="s">
        <v>33</v>
      </c>
      <c r="H376" s="8" t="s">
        <v>20</v>
      </c>
      <c r="I376" s="8" t="s">
        <v>21</v>
      </c>
      <c r="J376" s="8" t="s">
        <v>22</v>
      </c>
      <c r="K376" s="8"/>
      <c r="L376" s="11">
        <v>7.3</v>
      </c>
      <c r="M376" s="11">
        <v>4.3</v>
      </c>
      <c r="N376" s="11">
        <v>7.3</v>
      </c>
      <c r="O376" s="11">
        <f>L376*4</f>
        <v>29.2</v>
      </c>
      <c r="P376" s="11">
        <f>M376*4</f>
        <v>17.2</v>
      </c>
      <c r="Q376" s="11">
        <f>N376*4</f>
        <v>29.2</v>
      </c>
      <c r="R376" s="12">
        <f>2/3*3.14*(Q376/2)^3</f>
        <v>6514.738026666666</v>
      </c>
      <c r="S376" s="12">
        <f>R376/1000</f>
        <v>6.5147380266666657</v>
      </c>
    </row>
    <row r="377" spans="1:19" x14ac:dyDescent="0.25">
      <c r="A377" s="7">
        <v>378</v>
      </c>
      <c r="B377" s="8" t="s">
        <v>73</v>
      </c>
      <c r="C377" s="8" t="s">
        <v>250</v>
      </c>
      <c r="D377" s="7" t="s">
        <v>724</v>
      </c>
      <c r="E377" s="8" t="s">
        <v>744</v>
      </c>
      <c r="F377" s="9">
        <v>4</v>
      </c>
      <c r="G377" s="10" t="s">
        <v>33</v>
      </c>
      <c r="H377" s="8" t="s">
        <v>26</v>
      </c>
      <c r="I377" s="8" t="s">
        <v>27</v>
      </c>
      <c r="J377" s="8" t="s">
        <v>22</v>
      </c>
      <c r="K377" s="8"/>
      <c r="L377" s="11">
        <v>7.4</v>
      </c>
      <c r="M377" s="11">
        <v>3.8</v>
      </c>
      <c r="N377" s="11">
        <v>7.4</v>
      </c>
      <c r="O377" s="11">
        <f>L377*4</f>
        <v>29.6</v>
      </c>
      <c r="P377" s="11">
        <f>M377*4</f>
        <v>15.2</v>
      </c>
      <c r="Q377" s="11">
        <f>N377*4</f>
        <v>29.6</v>
      </c>
      <c r="R377" s="12">
        <f>2/3*3.14*(Q377/2)^3</f>
        <v>6786.1512533333344</v>
      </c>
      <c r="S377" s="12">
        <f>R377/1000</f>
        <v>6.7861512533333341</v>
      </c>
    </row>
    <row r="378" spans="1:19" x14ac:dyDescent="0.25">
      <c r="A378" s="7">
        <v>379</v>
      </c>
      <c r="B378" s="8" t="s">
        <v>130</v>
      </c>
      <c r="C378" s="8" t="s">
        <v>575</v>
      </c>
      <c r="D378" s="7" t="s">
        <v>725</v>
      </c>
      <c r="E378" s="8" t="s">
        <v>744</v>
      </c>
      <c r="F378" s="9">
        <v>7</v>
      </c>
      <c r="G378" s="10" t="s">
        <v>33</v>
      </c>
      <c r="H378" s="8" t="s">
        <v>100</v>
      </c>
      <c r="I378" s="8" t="s">
        <v>21</v>
      </c>
      <c r="J378" s="8" t="s">
        <v>22</v>
      </c>
      <c r="K378" s="8"/>
      <c r="L378" s="11">
        <v>5.6</v>
      </c>
      <c r="M378" s="11">
        <v>4.7</v>
      </c>
      <c r="N378" s="11">
        <v>8.3000000000000007</v>
      </c>
      <c r="O378" s="11">
        <f>L378*4</f>
        <v>22.4</v>
      </c>
      <c r="P378" s="11">
        <f>M378*4</f>
        <v>18.8</v>
      </c>
      <c r="Q378" s="11">
        <f>N378*4</f>
        <v>33.200000000000003</v>
      </c>
      <c r="R378" s="12">
        <f>4/3*3.14*(Q378/2)*(Q378/2)*(P378/2)</f>
        <v>10844.571946666667</v>
      </c>
      <c r="S378" s="12">
        <f>R378/1000</f>
        <v>10.844571946666667</v>
      </c>
    </row>
    <row r="379" spans="1:19" x14ac:dyDescent="0.25">
      <c r="A379" s="7">
        <v>380</v>
      </c>
      <c r="B379" s="8" t="s">
        <v>130</v>
      </c>
      <c r="C379" s="8" t="s">
        <v>421</v>
      </c>
      <c r="D379" s="7" t="s">
        <v>725</v>
      </c>
      <c r="E379" s="8" t="s">
        <v>744</v>
      </c>
      <c r="F379" s="9">
        <v>5</v>
      </c>
      <c r="G379" s="10" t="s">
        <v>25</v>
      </c>
      <c r="H379" s="8" t="s">
        <v>154</v>
      </c>
      <c r="I379" s="8" t="s">
        <v>155</v>
      </c>
      <c r="J379" s="8" t="s">
        <v>22</v>
      </c>
      <c r="K379" s="8"/>
      <c r="L379" s="11">
        <v>2.4</v>
      </c>
      <c r="M379" s="11">
        <v>4.8</v>
      </c>
      <c r="N379" s="11">
        <v>4.2</v>
      </c>
      <c r="O379" s="11">
        <f>L379*4</f>
        <v>9.6</v>
      </c>
      <c r="P379" s="11">
        <f>M379*4</f>
        <v>19.2</v>
      </c>
      <c r="Q379" s="11">
        <f>N379*4</f>
        <v>16.8</v>
      </c>
      <c r="R379" s="12">
        <f>(4/3)*3.14*(Q379/2)^3</f>
        <v>2481.45408</v>
      </c>
      <c r="S379" s="12">
        <f>R379/1000</f>
        <v>2.4814540799999998</v>
      </c>
    </row>
    <row r="380" spans="1:19" x14ac:dyDescent="0.25">
      <c r="A380" s="7">
        <v>381</v>
      </c>
      <c r="B380" s="8" t="s">
        <v>130</v>
      </c>
      <c r="C380" s="8" t="s">
        <v>131</v>
      </c>
      <c r="D380" s="7" t="s">
        <v>725</v>
      </c>
      <c r="E380" s="8" t="s">
        <v>744</v>
      </c>
      <c r="F380" s="9">
        <v>2</v>
      </c>
      <c r="G380" s="10" t="s">
        <v>25</v>
      </c>
      <c r="H380" s="8" t="s">
        <v>26</v>
      </c>
      <c r="I380" s="8" t="s">
        <v>27</v>
      </c>
      <c r="J380" s="8" t="s">
        <v>132</v>
      </c>
      <c r="K380" s="8"/>
      <c r="L380" s="11">
        <v>3.6</v>
      </c>
      <c r="M380" s="11">
        <v>2.5</v>
      </c>
      <c r="N380" s="11">
        <v>3.6</v>
      </c>
      <c r="O380" s="11">
        <f>L380*4</f>
        <v>14.4</v>
      </c>
      <c r="P380" s="11">
        <f>M380*4</f>
        <v>10</v>
      </c>
      <c r="Q380" s="11">
        <f>N380*4</f>
        <v>14.4</v>
      </c>
      <c r="R380" s="12">
        <f>(1/3)*3.14*P380^2*(3*(Q380/2)-P380)</f>
        <v>1214.1333333333334</v>
      </c>
      <c r="S380" s="12">
        <f>R380/1000</f>
        <v>1.2141333333333335</v>
      </c>
    </row>
    <row r="381" spans="1:19" x14ac:dyDescent="0.25">
      <c r="A381" s="7">
        <v>382</v>
      </c>
      <c r="B381" s="8" t="s">
        <v>130</v>
      </c>
      <c r="C381" s="8" t="s">
        <v>133</v>
      </c>
      <c r="D381" s="7" t="s">
        <v>725</v>
      </c>
      <c r="E381" s="8" t="s">
        <v>744</v>
      </c>
      <c r="F381" s="9">
        <v>2</v>
      </c>
      <c r="G381" s="10" t="s">
        <v>25</v>
      </c>
      <c r="H381" s="8" t="s">
        <v>20</v>
      </c>
      <c r="I381" s="8" t="s">
        <v>21</v>
      </c>
      <c r="J381" s="8" t="s">
        <v>134</v>
      </c>
      <c r="K381" s="8"/>
      <c r="L381" s="11">
        <v>5.0999999999999996</v>
      </c>
      <c r="M381" s="11">
        <v>2.7</v>
      </c>
      <c r="N381" s="11">
        <v>5.0999999999999996</v>
      </c>
      <c r="O381" s="11">
        <f>L381*4</f>
        <v>20.399999999999999</v>
      </c>
      <c r="P381" s="11">
        <f>M381*4</f>
        <v>10.8</v>
      </c>
      <c r="Q381" s="11">
        <f>N381*4</f>
        <v>20.399999999999999</v>
      </c>
      <c r="R381" s="12">
        <f>(1/3)*3.14*P381^2*(3*(Q381/2)-P381)</f>
        <v>2417.2473599999998</v>
      </c>
      <c r="S381" s="12">
        <f>R381/1000</f>
        <v>2.4172473599999997</v>
      </c>
    </row>
    <row r="382" spans="1:19" x14ac:dyDescent="0.25">
      <c r="A382" s="7">
        <v>383</v>
      </c>
      <c r="B382" s="8" t="s">
        <v>130</v>
      </c>
      <c r="C382" s="8" t="s">
        <v>135</v>
      </c>
      <c r="D382" s="7" t="s">
        <v>725</v>
      </c>
      <c r="E382" s="8" t="s">
        <v>744</v>
      </c>
      <c r="F382" s="9">
        <v>2</v>
      </c>
      <c r="G382" s="10" t="s">
        <v>25</v>
      </c>
      <c r="H382" s="8" t="s">
        <v>20</v>
      </c>
      <c r="I382" s="8" t="s">
        <v>21</v>
      </c>
      <c r="J382" s="8" t="s">
        <v>22</v>
      </c>
      <c r="K382" s="8"/>
      <c r="L382" s="11">
        <v>5.8</v>
      </c>
      <c r="M382" s="11">
        <v>2.9</v>
      </c>
      <c r="N382" s="11">
        <v>5.8</v>
      </c>
      <c r="O382" s="11">
        <f>L382*4</f>
        <v>23.2</v>
      </c>
      <c r="P382" s="11">
        <f>M382*4</f>
        <v>11.6</v>
      </c>
      <c r="Q382" s="11">
        <f>N382*4</f>
        <v>23.2</v>
      </c>
      <c r="R382" s="12">
        <f>(1/3)*3.14*P382^2*(3*(Q382/2)-P382)</f>
        <v>3267.4756266666659</v>
      </c>
      <c r="S382" s="12">
        <f>R382/1000</f>
        <v>3.2674756266666658</v>
      </c>
    </row>
    <row r="383" spans="1:19" x14ac:dyDescent="0.25">
      <c r="A383" s="7">
        <v>384</v>
      </c>
      <c r="B383" s="8" t="s">
        <v>130</v>
      </c>
      <c r="C383" s="8" t="s">
        <v>422</v>
      </c>
      <c r="D383" s="7" t="s">
        <v>725</v>
      </c>
      <c r="E383" s="8" t="s">
        <v>744</v>
      </c>
      <c r="F383" s="9">
        <v>5</v>
      </c>
      <c r="G383" s="10" t="s">
        <v>19</v>
      </c>
      <c r="H383" s="8" t="s">
        <v>154</v>
      </c>
      <c r="I383" s="8" t="s">
        <v>155</v>
      </c>
      <c r="J383" s="8"/>
      <c r="K383" s="8"/>
      <c r="L383" s="11">
        <v>2.2000000000000002</v>
      </c>
      <c r="M383" s="11">
        <v>3</v>
      </c>
      <c r="N383" s="11">
        <v>2.6</v>
      </c>
      <c r="O383" s="11">
        <f>L383*4</f>
        <v>8.8000000000000007</v>
      </c>
      <c r="P383" s="11">
        <f>M383*4</f>
        <v>12</v>
      </c>
      <c r="Q383" s="11">
        <f>N383*4</f>
        <v>10.4</v>
      </c>
      <c r="R383" s="12">
        <f>(4/3)*3.14*(Q383/2)^3</f>
        <v>588.67882666666674</v>
      </c>
      <c r="S383" s="12">
        <f>R383/1000</f>
        <v>0.58867882666666671</v>
      </c>
    </row>
    <row r="384" spans="1:19" x14ac:dyDescent="0.25">
      <c r="A384" s="7">
        <v>385</v>
      </c>
      <c r="B384" s="8" t="s">
        <v>130</v>
      </c>
      <c r="C384" s="8" t="s">
        <v>423</v>
      </c>
      <c r="D384" s="7" t="s">
        <v>725</v>
      </c>
      <c r="E384" s="8" t="s">
        <v>744</v>
      </c>
      <c r="F384" s="9">
        <v>5</v>
      </c>
      <c r="G384" s="10" t="s">
        <v>19</v>
      </c>
      <c r="H384" s="8" t="s">
        <v>154</v>
      </c>
      <c r="I384" s="8" t="s">
        <v>155</v>
      </c>
      <c r="J384" s="8" t="s">
        <v>22</v>
      </c>
      <c r="K384" s="8"/>
      <c r="L384" s="11">
        <v>1.6</v>
      </c>
      <c r="M384" s="11">
        <v>3.2</v>
      </c>
      <c r="N384" s="11">
        <v>3</v>
      </c>
      <c r="O384" s="11">
        <f>L384*4</f>
        <v>6.4</v>
      </c>
      <c r="P384" s="11">
        <f>M384*4</f>
        <v>12.8</v>
      </c>
      <c r="Q384" s="11">
        <f>N384*4</f>
        <v>12</v>
      </c>
      <c r="R384" s="12">
        <f>(4/3)*3.14*(Q384/2)^3</f>
        <v>904.31999999999994</v>
      </c>
      <c r="S384" s="12">
        <f>R384/1000</f>
        <v>0.9043199999999999</v>
      </c>
    </row>
    <row r="385" spans="1:19" x14ac:dyDescent="0.25">
      <c r="A385" s="7">
        <v>386</v>
      </c>
      <c r="B385" s="8" t="s">
        <v>130</v>
      </c>
      <c r="C385" s="8" t="s">
        <v>424</v>
      </c>
      <c r="D385" s="7" t="s">
        <v>725</v>
      </c>
      <c r="E385" s="8" t="s">
        <v>744</v>
      </c>
      <c r="F385" s="9">
        <v>5</v>
      </c>
      <c r="G385" s="10" t="s">
        <v>19</v>
      </c>
      <c r="H385" s="8" t="s">
        <v>154</v>
      </c>
      <c r="I385" s="8" t="s">
        <v>155</v>
      </c>
      <c r="J385" s="8" t="s">
        <v>22</v>
      </c>
      <c r="K385" s="8"/>
      <c r="L385" s="11">
        <v>1.1000000000000001</v>
      </c>
      <c r="M385" s="11">
        <v>2</v>
      </c>
      <c r="N385" s="11">
        <v>1.8</v>
      </c>
      <c r="O385" s="11">
        <f>L385*4</f>
        <v>4.4000000000000004</v>
      </c>
      <c r="P385" s="11">
        <f>M385*4</f>
        <v>8</v>
      </c>
      <c r="Q385" s="11">
        <f>N385*4</f>
        <v>7.2</v>
      </c>
      <c r="R385" s="12">
        <f>(4/3)*3.14*(Q385/2)^3</f>
        <v>195.33312000000001</v>
      </c>
      <c r="S385" s="12">
        <f>R385/1000</f>
        <v>0.19533312</v>
      </c>
    </row>
    <row r="386" spans="1:19" x14ac:dyDescent="0.25">
      <c r="A386" s="7">
        <v>387</v>
      </c>
      <c r="B386" s="8" t="s">
        <v>130</v>
      </c>
      <c r="C386" s="8" t="s">
        <v>425</v>
      </c>
      <c r="D386" s="7" t="s">
        <v>725</v>
      </c>
      <c r="E386" s="8" t="s">
        <v>744</v>
      </c>
      <c r="F386" s="9">
        <v>5</v>
      </c>
      <c r="G386" s="10" t="s">
        <v>25</v>
      </c>
      <c r="H386" s="8" t="s">
        <v>154</v>
      </c>
      <c r="I386" s="8" t="s">
        <v>155</v>
      </c>
      <c r="J386" s="8"/>
      <c r="K386" s="8"/>
      <c r="L386" s="11">
        <v>2</v>
      </c>
      <c r="M386" s="11">
        <v>3.8</v>
      </c>
      <c r="N386" s="11">
        <v>3.4</v>
      </c>
      <c r="O386" s="11">
        <f>L386*4</f>
        <v>8</v>
      </c>
      <c r="P386" s="11">
        <f>M386*4</f>
        <v>15.2</v>
      </c>
      <c r="Q386" s="11">
        <f>N386*4</f>
        <v>13.6</v>
      </c>
      <c r="R386" s="12">
        <f>(4/3)*3.14*(Q386/2)^3</f>
        <v>1316.4219733333332</v>
      </c>
      <c r="S386" s="12">
        <f>R386/1000</f>
        <v>1.3164219733333331</v>
      </c>
    </row>
    <row r="387" spans="1:19" x14ac:dyDescent="0.25">
      <c r="A387" s="7">
        <v>388</v>
      </c>
      <c r="B387" s="8" t="s">
        <v>130</v>
      </c>
      <c r="C387" s="8" t="s">
        <v>525</v>
      </c>
      <c r="D387" s="7" t="s">
        <v>725</v>
      </c>
      <c r="E387" s="8" t="s">
        <v>744</v>
      </c>
      <c r="F387" s="9">
        <v>6</v>
      </c>
      <c r="G387" s="10" t="s">
        <v>25</v>
      </c>
      <c r="H387" s="8" t="s">
        <v>154</v>
      </c>
      <c r="I387" s="8" t="s">
        <v>155</v>
      </c>
      <c r="J387" s="8"/>
      <c r="K387" s="8"/>
      <c r="L387" s="11">
        <v>2.4</v>
      </c>
      <c r="M387" s="11">
        <v>5</v>
      </c>
      <c r="N387" s="11">
        <v>4.5999999999999996</v>
      </c>
      <c r="O387" s="11">
        <f>L387*4</f>
        <v>9.6</v>
      </c>
      <c r="P387" s="11">
        <f>M387*4</f>
        <v>20</v>
      </c>
      <c r="Q387" s="11">
        <f>N387*4</f>
        <v>18.399999999999999</v>
      </c>
      <c r="R387" s="12">
        <f>(4/3)*3.14*(Q387/2)^3</f>
        <v>3260.1070933333322</v>
      </c>
      <c r="S387" s="12">
        <f>R387/1000</f>
        <v>3.2601070933333323</v>
      </c>
    </row>
    <row r="388" spans="1:19" x14ac:dyDescent="0.25">
      <c r="A388" s="7">
        <v>389</v>
      </c>
      <c r="B388" s="8" t="s">
        <v>130</v>
      </c>
      <c r="C388" s="8" t="s">
        <v>624</v>
      </c>
      <c r="D388" s="7" t="s">
        <v>725</v>
      </c>
      <c r="E388" s="8" t="s">
        <v>744</v>
      </c>
      <c r="F388" s="9">
        <v>10</v>
      </c>
      <c r="G388" s="10" t="s">
        <v>33</v>
      </c>
      <c r="H388" s="8" t="s">
        <v>154</v>
      </c>
      <c r="I388" s="8" t="s">
        <v>155</v>
      </c>
      <c r="J388" s="8"/>
      <c r="K388" s="8"/>
      <c r="L388" s="11">
        <v>4</v>
      </c>
      <c r="M388" s="11">
        <v>7.2</v>
      </c>
      <c r="N388" s="11">
        <v>5.5</v>
      </c>
      <c r="O388" s="11">
        <f>L388*4</f>
        <v>16</v>
      </c>
      <c r="P388" s="11">
        <f>M388*4</f>
        <v>28.8</v>
      </c>
      <c r="Q388" s="11">
        <f>N388*4</f>
        <v>22</v>
      </c>
      <c r="R388" s="12">
        <f>4/3*3.14*(Q388/2)*(Q388/2)*(P388/2)</f>
        <v>7294.8480000000009</v>
      </c>
      <c r="S388" s="12">
        <f>R388/1000</f>
        <v>7.2948480000000009</v>
      </c>
    </row>
    <row r="389" spans="1:19" x14ac:dyDescent="0.25">
      <c r="A389" s="7">
        <v>390</v>
      </c>
      <c r="B389" s="8" t="s">
        <v>130</v>
      </c>
      <c r="C389" s="8" t="s">
        <v>625</v>
      </c>
      <c r="D389" s="7" t="s">
        <v>725</v>
      </c>
      <c r="E389" s="8" t="s">
        <v>744</v>
      </c>
      <c r="F389" s="9">
        <v>10</v>
      </c>
      <c r="G389" s="10" t="s">
        <v>33</v>
      </c>
      <c r="H389" s="8" t="s">
        <v>154</v>
      </c>
      <c r="I389" s="8" t="s">
        <v>155</v>
      </c>
      <c r="J389" s="8"/>
      <c r="K389" s="8"/>
      <c r="L389" s="11">
        <v>4.3</v>
      </c>
      <c r="M389" s="11">
        <v>8.6999999999999993</v>
      </c>
      <c r="N389" s="11">
        <v>5.8</v>
      </c>
      <c r="O389" s="11">
        <f>L389*4</f>
        <v>17.2</v>
      </c>
      <c r="P389" s="11">
        <f>M389*4</f>
        <v>34.799999999999997</v>
      </c>
      <c r="Q389" s="11">
        <f>N389*4</f>
        <v>23.2</v>
      </c>
      <c r="R389" s="12">
        <f>4/3*3.14*(Q389/2)*(Q389/2)*(P389/2)</f>
        <v>9802.4268799999991</v>
      </c>
      <c r="S389" s="12">
        <f>R389/1000</f>
        <v>9.8024268799999987</v>
      </c>
    </row>
    <row r="390" spans="1:19" x14ac:dyDescent="0.25">
      <c r="A390" s="7">
        <v>391</v>
      </c>
      <c r="B390" s="8" t="s">
        <v>130</v>
      </c>
      <c r="C390" s="8" t="s">
        <v>576</v>
      </c>
      <c r="D390" s="7" t="s">
        <v>725</v>
      </c>
      <c r="E390" s="8" t="s">
        <v>744</v>
      </c>
      <c r="F390" s="9">
        <v>7</v>
      </c>
      <c r="G390" s="10" t="s">
        <v>33</v>
      </c>
      <c r="H390" s="8" t="s">
        <v>100</v>
      </c>
      <c r="I390" s="8" t="s">
        <v>21</v>
      </c>
      <c r="J390" s="8" t="s">
        <v>237</v>
      </c>
      <c r="K390" s="8"/>
      <c r="L390" s="11">
        <v>4.5999999999999996</v>
      </c>
      <c r="M390" s="11">
        <v>5.3</v>
      </c>
      <c r="N390" s="11">
        <v>6.9</v>
      </c>
      <c r="O390" s="11">
        <f>L390*4</f>
        <v>18.399999999999999</v>
      </c>
      <c r="P390" s="11">
        <f>M390*4</f>
        <v>21.2</v>
      </c>
      <c r="Q390" s="11">
        <f>N390*4</f>
        <v>27.6</v>
      </c>
      <c r="R390" s="12">
        <f>4/3*3.14*(Q390/2)*(Q390/2)*(P390/2)</f>
        <v>8451.473280000002</v>
      </c>
      <c r="S390" s="12">
        <f>R390/1000</f>
        <v>8.4514732800000019</v>
      </c>
    </row>
    <row r="391" spans="1:19" x14ac:dyDescent="0.25">
      <c r="A391" s="7">
        <v>392</v>
      </c>
      <c r="B391" s="8" t="s">
        <v>75</v>
      </c>
      <c r="C391" s="8" t="s">
        <v>526</v>
      </c>
      <c r="D391" s="7" t="s">
        <v>726</v>
      </c>
      <c r="E391" s="8" t="s">
        <v>743</v>
      </c>
      <c r="F391" s="9">
        <v>6</v>
      </c>
      <c r="G391" s="10" t="s">
        <v>33</v>
      </c>
      <c r="H391" s="8" t="s">
        <v>154</v>
      </c>
      <c r="I391" s="8" t="s">
        <v>155</v>
      </c>
      <c r="J391" s="8"/>
      <c r="K391" s="8"/>
      <c r="L391" s="11">
        <v>5</v>
      </c>
      <c r="M391" s="11">
        <v>8.6999999999999993</v>
      </c>
      <c r="N391" s="11">
        <v>9.6</v>
      </c>
      <c r="O391" s="11">
        <f>L391*4</f>
        <v>20</v>
      </c>
      <c r="P391" s="11">
        <f>M391*4</f>
        <v>34.799999999999997</v>
      </c>
      <c r="Q391" s="11">
        <f>N391*4</f>
        <v>38.4</v>
      </c>
      <c r="R391" s="12">
        <f>(4/3)*3.14*(Q391/2)^3</f>
        <v>29632.75776</v>
      </c>
      <c r="S391" s="12">
        <f>R391/1000</f>
        <v>29.632757760000001</v>
      </c>
    </row>
    <row r="392" spans="1:19" x14ac:dyDescent="0.25">
      <c r="A392" s="7">
        <v>393</v>
      </c>
      <c r="B392" s="8" t="s">
        <v>75</v>
      </c>
      <c r="C392" s="8" t="s">
        <v>166</v>
      </c>
      <c r="D392" s="7" t="s">
        <v>726</v>
      </c>
      <c r="E392" s="8" t="s">
        <v>743</v>
      </c>
      <c r="F392" s="9">
        <v>3</v>
      </c>
      <c r="G392" s="10" t="s">
        <v>33</v>
      </c>
      <c r="H392" s="8" t="s">
        <v>154</v>
      </c>
      <c r="I392" s="8" t="s">
        <v>155</v>
      </c>
      <c r="J392" s="8"/>
      <c r="K392" s="8"/>
      <c r="L392" s="11">
        <v>10.1</v>
      </c>
      <c r="M392" s="11">
        <v>4.9000000000000004</v>
      </c>
      <c r="N392" s="11">
        <v>11.7</v>
      </c>
      <c r="O392" s="11">
        <f>L392*4</f>
        <v>40.4</v>
      </c>
      <c r="P392" s="11">
        <f>M392*4</f>
        <v>19.600000000000001</v>
      </c>
      <c r="Q392" s="11">
        <f>N392*4</f>
        <v>46.8</v>
      </c>
      <c r="R392" s="12">
        <f>4/3*3.14*(Q392/2)*(Q392/2)*(P392/2)</f>
        <v>22466.021759999996</v>
      </c>
      <c r="S392" s="12">
        <f>R392/1000</f>
        <v>22.466021759999997</v>
      </c>
    </row>
    <row r="393" spans="1:19" x14ac:dyDescent="0.25">
      <c r="A393" s="7">
        <v>394</v>
      </c>
      <c r="B393" s="8" t="s">
        <v>75</v>
      </c>
      <c r="C393" s="8" t="s">
        <v>167</v>
      </c>
      <c r="D393" s="7" t="s">
        <v>726</v>
      </c>
      <c r="E393" s="8" t="s">
        <v>743</v>
      </c>
      <c r="F393" s="9">
        <v>3</v>
      </c>
      <c r="G393" s="10" t="s">
        <v>37</v>
      </c>
      <c r="H393" s="8" t="s">
        <v>154</v>
      </c>
      <c r="I393" s="8" t="s">
        <v>155</v>
      </c>
      <c r="J393" s="8"/>
      <c r="K393" s="8"/>
      <c r="L393" s="11">
        <v>13.5</v>
      </c>
      <c r="M393" s="11">
        <v>7.7</v>
      </c>
      <c r="N393" s="11">
        <v>14.1</v>
      </c>
      <c r="O393" s="11">
        <f>L393*4</f>
        <v>54</v>
      </c>
      <c r="P393" s="11">
        <f>M393*4</f>
        <v>30.8</v>
      </c>
      <c r="Q393" s="11">
        <f>N393*4</f>
        <v>56.4</v>
      </c>
      <c r="R393" s="12">
        <f>4/3*3.14*(Q393/2)*(Q393/2)*(P393/2)</f>
        <v>51272.833919999997</v>
      </c>
      <c r="S393" s="12">
        <f>R393/1000</f>
        <v>51.272833919999997</v>
      </c>
    </row>
    <row r="394" spans="1:19" x14ac:dyDescent="0.25">
      <c r="A394" s="7">
        <v>395</v>
      </c>
      <c r="B394" s="8" t="s">
        <v>75</v>
      </c>
      <c r="C394" s="8" t="s">
        <v>76</v>
      </c>
      <c r="D394" s="7" t="s">
        <v>726</v>
      </c>
      <c r="E394" s="8" t="s">
        <v>743</v>
      </c>
      <c r="F394" s="9">
        <v>1</v>
      </c>
      <c r="G394" s="10" t="s">
        <v>33</v>
      </c>
      <c r="H394" s="8" t="s">
        <v>20</v>
      </c>
      <c r="I394" s="8" t="s">
        <v>21</v>
      </c>
      <c r="J394" s="8" t="s">
        <v>22</v>
      </c>
      <c r="K394" s="8"/>
      <c r="L394" s="11">
        <v>15.1</v>
      </c>
      <c r="M394" s="11">
        <v>2.6</v>
      </c>
      <c r="N394" s="11">
        <v>15.6</v>
      </c>
      <c r="O394" s="11">
        <f>L394*4</f>
        <v>60.4</v>
      </c>
      <c r="P394" s="11">
        <f>M394*4</f>
        <v>10.4</v>
      </c>
      <c r="Q394" s="11">
        <f>N394*4</f>
        <v>62.4</v>
      </c>
      <c r="R394" s="12">
        <f>(1/3)*3.14*P394^2*(3*(Q394/2)-P394)</f>
        <v>9418.861226666666</v>
      </c>
      <c r="S394" s="12">
        <f>R394/1000</f>
        <v>9.4188612266666656</v>
      </c>
    </row>
    <row r="395" spans="1:19" x14ac:dyDescent="0.25">
      <c r="A395" s="7">
        <v>396</v>
      </c>
      <c r="B395" s="8" t="s">
        <v>75</v>
      </c>
      <c r="C395" s="8" t="s">
        <v>251</v>
      </c>
      <c r="D395" s="7" t="s">
        <v>726</v>
      </c>
      <c r="E395" s="8" t="s">
        <v>743</v>
      </c>
      <c r="F395" s="9">
        <v>4</v>
      </c>
      <c r="G395" s="10" t="s">
        <v>33</v>
      </c>
      <c r="H395" s="8" t="s">
        <v>20</v>
      </c>
      <c r="I395" s="8" t="s">
        <v>21</v>
      </c>
      <c r="J395" s="8" t="s">
        <v>22</v>
      </c>
      <c r="K395" s="8"/>
      <c r="L395" s="11">
        <v>8.3000000000000007</v>
      </c>
      <c r="M395" s="11">
        <v>4.2</v>
      </c>
      <c r="N395" s="11">
        <v>8.3000000000000007</v>
      </c>
      <c r="O395" s="11">
        <f>L395*4</f>
        <v>33.200000000000003</v>
      </c>
      <c r="P395" s="11">
        <f>M395*4</f>
        <v>16.8</v>
      </c>
      <c r="Q395" s="11">
        <f>N395*4</f>
        <v>33.200000000000003</v>
      </c>
      <c r="R395" s="12">
        <f>2/3*3.14*(Q395/2)^3</f>
        <v>9575.5262933333361</v>
      </c>
      <c r="S395" s="12">
        <f>R395/1000</f>
        <v>9.5755262933333363</v>
      </c>
    </row>
    <row r="396" spans="1:19" x14ac:dyDescent="0.25">
      <c r="A396" s="7">
        <v>397</v>
      </c>
      <c r="B396" s="8" t="s">
        <v>75</v>
      </c>
      <c r="C396" s="8" t="s">
        <v>426</v>
      </c>
      <c r="D396" s="7" t="s">
        <v>726</v>
      </c>
      <c r="E396" s="8" t="s">
        <v>743</v>
      </c>
      <c r="F396" s="9">
        <v>5</v>
      </c>
      <c r="G396" s="10" t="s">
        <v>42</v>
      </c>
      <c r="H396" s="8" t="s">
        <v>20</v>
      </c>
      <c r="I396" s="8" t="s">
        <v>21</v>
      </c>
      <c r="J396" s="8"/>
      <c r="K396" s="8"/>
      <c r="L396" s="11">
        <v>19.5</v>
      </c>
      <c r="M396" s="11">
        <v>20.100000000000001</v>
      </c>
      <c r="N396" s="11">
        <v>24.4</v>
      </c>
      <c r="O396" s="11">
        <f>L396*4</f>
        <v>78</v>
      </c>
      <c r="P396" s="11">
        <f>M396*4</f>
        <v>80.400000000000006</v>
      </c>
      <c r="Q396" s="11">
        <f>N396*4</f>
        <v>97.6</v>
      </c>
      <c r="R396" s="12">
        <f>(4/3)*3.14*(Q396/2)^3</f>
        <v>486550.41877333319</v>
      </c>
      <c r="S396" s="12">
        <f>R396/1000</f>
        <v>486.55041877333321</v>
      </c>
    </row>
    <row r="397" spans="1:19" x14ac:dyDescent="0.25">
      <c r="A397" s="7">
        <v>398</v>
      </c>
      <c r="B397" s="8" t="s">
        <v>75</v>
      </c>
      <c r="C397" s="8" t="s">
        <v>427</v>
      </c>
      <c r="D397" s="7" t="s">
        <v>727</v>
      </c>
      <c r="E397" s="8" t="s">
        <v>743</v>
      </c>
      <c r="F397" s="9">
        <v>5</v>
      </c>
      <c r="G397" s="10" t="s">
        <v>33</v>
      </c>
      <c r="H397" s="8" t="s">
        <v>45</v>
      </c>
      <c r="I397" s="8" t="s">
        <v>21</v>
      </c>
      <c r="J397" s="8"/>
      <c r="K397" s="8"/>
      <c r="L397" s="11">
        <v>5.8</v>
      </c>
      <c r="M397" s="11">
        <v>9.4</v>
      </c>
      <c r="N397" s="11">
        <v>10.1</v>
      </c>
      <c r="O397" s="11">
        <f>L397*4</f>
        <v>23.2</v>
      </c>
      <c r="P397" s="11">
        <f>M397*4</f>
        <v>37.6</v>
      </c>
      <c r="Q397" s="11">
        <f>N397*4</f>
        <v>40.4</v>
      </c>
      <c r="R397" s="12">
        <f>(4/3)*3.14*(Q397/2)^3</f>
        <v>34508.214826666663</v>
      </c>
      <c r="S397" s="12">
        <f>R397/1000</f>
        <v>34.508214826666659</v>
      </c>
    </row>
    <row r="398" spans="1:19" x14ac:dyDescent="0.25">
      <c r="A398" s="7">
        <v>399</v>
      </c>
      <c r="B398" s="8" t="s">
        <v>75</v>
      </c>
      <c r="C398" s="8" t="s">
        <v>168</v>
      </c>
      <c r="D398" s="7" t="s">
        <v>727</v>
      </c>
      <c r="E398" s="8" t="s">
        <v>743</v>
      </c>
      <c r="F398" s="9">
        <v>3</v>
      </c>
      <c r="G398" s="10" t="s">
        <v>33</v>
      </c>
      <c r="H398" s="8" t="s">
        <v>45</v>
      </c>
      <c r="I398" s="8" t="s">
        <v>21</v>
      </c>
      <c r="J398" s="8" t="s">
        <v>22</v>
      </c>
      <c r="K398" s="8"/>
      <c r="L398" s="11">
        <v>9.1999999999999993</v>
      </c>
      <c r="M398" s="11">
        <v>5.8</v>
      </c>
      <c r="N398" s="11">
        <v>10.6</v>
      </c>
      <c r="O398" s="11">
        <f>L398*4</f>
        <v>36.799999999999997</v>
      </c>
      <c r="P398" s="11">
        <f>M398*4</f>
        <v>23.2</v>
      </c>
      <c r="Q398" s="11">
        <f>N398*4</f>
        <v>42.4</v>
      </c>
      <c r="R398" s="12">
        <f>4/3*3.14*(Q398/2)*(Q398/2)*(P398/2)</f>
        <v>21827.203413333329</v>
      </c>
      <c r="S398" s="12">
        <f>R398/1000</f>
        <v>21.827203413333329</v>
      </c>
    </row>
    <row r="399" spans="1:19" x14ac:dyDescent="0.25">
      <c r="A399" s="7">
        <v>400</v>
      </c>
      <c r="B399" s="8" t="s">
        <v>75</v>
      </c>
      <c r="C399" s="8" t="s">
        <v>428</v>
      </c>
      <c r="D399" s="7" t="s">
        <v>727</v>
      </c>
      <c r="E399" s="8" t="s">
        <v>743</v>
      </c>
      <c r="F399" s="9">
        <v>5</v>
      </c>
      <c r="G399" s="10" t="s">
        <v>42</v>
      </c>
      <c r="H399" s="8" t="s">
        <v>45</v>
      </c>
      <c r="I399" s="8" t="s">
        <v>21</v>
      </c>
      <c r="J399" s="8"/>
      <c r="K399" s="8"/>
      <c r="L399" s="11">
        <v>14.8</v>
      </c>
      <c r="M399" s="11">
        <v>13.8</v>
      </c>
      <c r="N399" s="11">
        <v>18.600000000000001</v>
      </c>
      <c r="O399" s="11">
        <f>L399*4</f>
        <v>59.2</v>
      </c>
      <c r="P399" s="11">
        <f>M399*4</f>
        <v>55.2</v>
      </c>
      <c r="Q399" s="11">
        <f>N399*4</f>
        <v>74.400000000000006</v>
      </c>
      <c r="R399" s="12">
        <f>(4/3)*3.14*(Q399/2)^3</f>
        <v>215524.77696000005</v>
      </c>
      <c r="S399" s="12">
        <f>R399/1000</f>
        <v>215.52477696000005</v>
      </c>
    </row>
    <row r="400" spans="1:19" x14ac:dyDescent="0.25">
      <c r="A400" s="7">
        <v>401</v>
      </c>
      <c r="B400" s="8" t="s">
        <v>75</v>
      </c>
      <c r="C400" s="8" t="s">
        <v>252</v>
      </c>
      <c r="D400" s="7" t="s">
        <v>727</v>
      </c>
      <c r="E400" s="8" t="s">
        <v>743</v>
      </c>
      <c r="F400" s="9">
        <v>4</v>
      </c>
      <c r="G400" s="10" t="s">
        <v>33</v>
      </c>
      <c r="H400" s="8" t="s">
        <v>20</v>
      </c>
      <c r="I400" s="8" t="s">
        <v>21</v>
      </c>
      <c r="J400" s="8" t="s">
        <v>22</v>
      </c>
      <c r="K400" s="8"/>
      <c r="L400" s="11">
        <v>10.3</v>
      </c>
      <c r="M400" s="11">
        <v>5.2</v>
      </c>
      <c r="N400" s="11">
        <v>10.3</v>
      </c>
      <c r="O400" s="11">
        <f>L400*4</f>
        <v>41.2</v>
      </c>
      <c r="P400" s="11">
        <f>M400*4</f>
        <v>20.8</v>
      </c>
      <c r="Q400" s="11">
        <f>N400*4</f>
        <v>41.2</v>
      </c>
      <c r="R400" s="12">
        <f>2/3*3.14*(Q400/2)^3</f>
        <v>18299.53482666667</v>
      </c>
      <c r="S400" s="12">
        <f>R400/1000</f>
        <v>18.299534826666669</v>
      </c>
    </row>
    <row r="401" spans="1:19" x14ac:dyDescent="0.25">
      <c r="A401" s="7">
        <v>402</v>
      </c>
      <c r="B401" s="8" t="s">
        <v>75</v>
      </c>
      <c r="C401" s="8" t="s">
        <v>429</v>
      </c>
      <c r="D401" s="7" t="s">
        <v>727</v>
      </c>
      <c r="E401" s="8" t="s">
        <v>743</v>
      </c>
      <c r="F401" s="9">
        <v>5</v>
      </c>
      <c r="G401" s="10" t="s">
        <v>42</v>
      </c>
      <c r="H401" s="8" t="s">
        <v>100</v>
      </c>
      <c r="I401" s="8" t="s">
        <v>21</v>
      </c>
      <c r="J401" s="8"/>
      <c r="K401" s="8"/>
      <c r="L401" s="11">
        <v>14.4</v>
      </c>
      <c r="M401" s="11">
        <v>14.4</v>
      </c>
      <c r="N401" s="11">
        <v>15.4</v>
      </c>
      <c r="O401" s="11">
        <f>L401*4</f>
        <v>57.6</v>
      </c>
      <c r="P401" s="11">
        <f>M401*4</f>
        <v>57.6</v>
      </c>
      <c r="Q401" s="11">
        <f>N401*4</f>
        <v>61.6</v>
      </c>
      <c r="R401" s="12">
        <f>(4/3)*3.14*(Q401/2)^3</f>
        <v>122326.49557333335</v>
      </c>
      <c r="S401" s="12">
        <f>R401/1000</f>
        <v>122.32649557333335</v>
      </c>
    </row>
    <row r="402" spans="1:19" x14ac:dyDescent="0.25">
      <c r="A402" s="7">
        <v>403</v>
      </c>
      <c r="B402" s="8" t="s">
        <v>75</v>
      </c>
      <c r="C402" s="8" t="s">
        <v>626</v>
      </c>
      <c r="D402" s="7" t="s">
        <v>728</v>
      </c>
      <c r="E402" s="8" t="s">
        <v>743</v>
      </c>
      <c r="F402" s="9">
        <v>10</v>
      </c>
      <c r="G402" s="10" t="s">
        <v>33</v>
      </c>
      <c r="H402" s="8" t="s">
        <v>349</v>
      </c>
      <c r="I402" s="8" t="s">
        <v>155</v>
      </c>
      <c r="J402" s="8"/>
      <c r="K402" s="8"/>
      <c r="L402" s="11">
        <v>6.1</v>
      </c>
      <c r="M402" s="11">
        <v>7.7</v>
      </c>
      <c r="N402" s="11">
        <v>7.5</v>
      </c>
      <c r="O402" s="11">
        <f>L402*4</f>
        <v>24.4</v>
      </c>
      <c r="P402" s="11">
        <f>M402*4</f>
        <v>30.8</v>
      </c>
      <c r="Q402" s="11">
        <f>N402*4</f>
        <v>30</v>
      </c>
      <c r="R402" s="12">
        <f>4/3*3.14*(Q402/2)*(Q402/2)*(P402/2)</f>
        <v>14506.800000000001</v>
      </c>
      <c r="S402" s="12">
        <f>R402/1000</f>
        <v>14.506800000000002</v>
      </c>
    </row>
    <row r="403" spans="1:19" x14ac:dyDescent="0.25">
      <c r="A403" s="7">
        <v>404</v>
      </c>
      <c r="B403" s="8" t="s">
        <v>75</v>
      </c>
      <c r="C403" s="8" t="s">
        <v>136</v>
      </c>
      <c r="D403" s="7" t="s">
        <v>728</v>
      </c>
      <c r="E403" s="8" t="s">
        <v>743</v>
      </c>
      <c r="F403" s="9">
        <v>2</v>
      </c>
      <c r="G403" s="10" t="s">
        <v>33</v>
      </c>
      <c r="H403" s="8" t="s">
        <v>20</v>
      </c>
      <c r="I403" s="8" t="s">
        <v>21</v>
      </c>
      <c r="J403" s="8" t="s">
        <v>22</v>
      </c>
      <c r="K403" s="8"/>
      <c r="L403" s="11">
        <v>8.1</v>
      </c>
      <c r="M403" s="11">
        <v>3.3</v>
      </c>
      <c r="N403" s="11">
        <v>8.1</v>
      </c>
      <c r="O403" s="11">
        <f>L403*4</f>
        <v>32.4</v>
      </c>
      <c r="P403" s="11">
        <f>M403*4</f>
        <v>13.2</v>
      </c>
      <c r="Q403" s="11">
        <f>N403*4</f>
        <v>32.4</v>
      </c>
      <c r="R403" s="12">
        <f>(1/3)*3.14*P403^2*(3*(Q403/2)-P403)</f>
        <v>6455.9404799999984</v>
      </c>
      <c r="S403" s="12">
        <f>R403/1000</f>
        <v>6.455940479999998</v>
      </c>
    </row>
    <row r="404" spans="1:19" x14ac:dyDescent="0.25">
      <c r="A404" s="7">
        <v>405</v>
      </c>
      <c r="B404" s="8" t="s">
        <v>75</v>
      </c>
      <c r="C404" s="8" t="s">
        <v>169</v>
      </c>
      <c r="D404" s="7" t="s">
        <v>728</v>
      </c>
      <c r="E404" s="8" t="s">
        <v>743</v>
      </c>
      <c r="F404" s="9">
        <v>3</v>
      </c>
      <c r="G404" s="10" t="s">
        <v>33</v>
      </c>
      <c r="H404" s="8" t="s">
        <v>154</v>
      </c>
      <c r="I404" s="8" t="s">
        <v>155</v>
      </c>
      <c r="J404" s="8" t="s">
        <v>22</v>
      </c>
      <c r="K404" s="8"/>
      <c r="L404" s="11">
        <v>8.6</v>
      </c>
      <c r="M404" s="11">
        <v>5.7</v>
      </c>
      <c r="N404" s="11">
        <v>9.1999999999999993</v>
      </c>
      <c r="O404" s="11">
        <f>L404*4</f>
        <v>34.4</v>
      </c>
      <c r="P404" s="11">
        <f>M404*4</f>
        <v>22.8</v>
      </c>
      <c r="Q404" s="11">
        <f>N404*4</f>
        <v>36.799999999999997</v>
      </c>
      <c r="R404" s="12">
        <f>4/3*3.14*(Q404/2)*(Q404/2)*(P404/2)</f>
        <v>16158.791679999995</v>
      </c>
      <c r="S404" s="12">
        <f>R404/1000</f>
        <v>16.158791679999993</v>
      </c>
    </row>
    <row r="405" spans="1:19" x14ac:dyDescent="0.25">
      <c r="A405" s="7">
        <v>406</v>
      </c>
      <c r="B405" s="8" t="s">
        <v>75</v>
      </c>
      <c r="C405" s="8" t="s">
        <v>253</v>
      </c>
      <c r="D405" s="7" t="s">
        <v>728</v>
      </c>
      <c r="E405" s="8" t="s">
        <v>743</v>
      </c>
      <c r="F405" s="9">
        <v>4</v>
      </c>
      <c r="G405" s="10" t="s">
        <v>25</v>
      </c>
      <c r="H405" s="8" t="s">
        <v>45</v>
      </c>
      <c r="I405" s="8" t="s">
        <v>21</v>
      </c>
      <c r="J405" s="8" t="s">
        <v>22</v>
      </c>
      <c r="K405" s="8"/>
      <c r="L405" s="11">
        <v>5.0999999999999996</v>
      </c>
      <c r="M405" s="11">
        <v>3.5</v>
      </c>
      <c r="N405" s="11">
        <v>5.0999999999999996</v>
      </c>
      <c r="O405" s="11">
        <f>L405*4</f>
        <v>20.399999999999999</v>
      </c>
      <c r="P405" s="11">
        <f>M405*4</f>
        <v>14</v>
      </c>
      <c r="Q405" s="11">
        <f>N405*4</f>
        <v>20.399999999999999</v>
      </c>
      <c r="R405" s="12">
        <f>2/3*3.14*(Q405/2)^3</f>
        <v>2221.4620799999998</v>
      </c>
      <c r="S405" s="12">
        <f>R405/1000</f>
        <v>2.2214620799999998</v>
      </c>
    </row>
    <row r="406" spans="1:19" x14ac:dyDescent="0.25">
      <c r="A406" s="7">
        <v>407</v>
      </c>
      <c r="B406" s="8" t="s">
        <v>75</v>
      </c>
      <c r="C406" s="8" t="s">
        <v>254</v>
      </c>
      <c r="D406" s="7" t="s">
        <v>728</v>
      </c>
      <c r="E406" s="8" t="s">
        <v>743</v>
      </c>
      <c r="F406" s="9">
        <v>4</v>
      </c>
      <c r="G406" s="10" t="s">
        <v>37</v>
      </c>
      <c r="H406" s="8" t="s">
        <v>255</v>
      </c>
      <c r="I406" s="8" t="s">
        <v>55</v>
      </c>
      <c r="J406" s="8" t="s">
        <v>22</v>
      </c>
      <c r="K406" s="8"/>
      <c r="L406" s="11">
        <v>16.8</v>
      </c>
      <c r="M406" s="11">
        <v>7.1</v>
      </c>
      <c r="N406" s="11">
        <v>16.8</v>
      </c>
      <c r="O406" s="11">
        <f>L406*4</f>
        <v>67.2</v>
      </c>
      <c r="P406" s="11">
        <f>M406*4</f>
        <v>28.4</v>
      </c>
      <c r="Q406" s="11">
        <f>N406*4</f>
        <v>67.2</v>
      </c>
      <c r="R406" s="12">
        <f>2/3*3.14*(Q406/2)^3</f>
        <v>79406.530559999999</v>
      </c>
      <c r="S406" s="12">
        <f>R406/1000</f>
        <v>79.406530559999993</v>
      </c>
    </row>
    <row r="407" spans="1:19" x14ac:dyDescent="0.25">
      <c r="A407" s="7">
        <v>408</v>
      </c>
      <c r="B407" s="8" t="s">
        <v>75</v>
      </c>
      <c r="C407" s="8" t="s">
        <v>256</v>
      </c>
      <c r="D407" s="7" t="s">
        <v>728</v>
      </c>
      <c r="E407" s="8" t="s">
        <v>743</v>
      </c>
      <c r="F407" s="9">
        <v>4</v>
      </c>
      <c r="G407" s="10" t="s">
        <v>37</v>
      </c>
      <c r="H407" s="8" t="s">
        <v>255</v>
      </c>
      <c r="I407" s="8" t="s">
        <v>55</v>
      </c>
      <c r="J407" s="8"/>
      <c r="K407" s="8"/>
      <c r="L407" s="11">
        <v>13.6</v>
      </c>
      <c r="M407" s="11">
        <v>7.3</v>
      </c>
      <c r="N407" s="11">
        <v>13.8</v>
      </c>
      <c r="O407" s="11">
        <f>L407*4</f>
        <v>54.4</v>
      </c>
      <c r="P407" s="11">
        <f>M407*4</f>
        <v>29.2</v>
      </c>
      <c r="Q407" s="11">
        <f>N407*4</f>
        <v>55.2</v>
      </c>
      <c r="R407" s="12">
        <f>2/3*3.14*(Q407/2)^3</f>
        <v>44011.44576000001</v>
      </c>
      <c r="S407" s="12">
        <f>R407/1000</f>
        <v>44.011445760000008</v>
      </c>
    </row>
    <row r="408" spans="1:19" x14ac:dyDescent="0.25">
      <c r="A408" s="7">
        <v>409</v>
      </c>
      <c r="B408" s="8" t="s">
        <v>170</v>
      </c>
      <c r="C408" s="8" t="s">
        <v>430</v>
      </c>
      <c r="D408" s="7" t="s">
        <v>729</v>
      </c>
      <c r="E408" s="8" t="s">
        <v>744</v>
      </c>
      <c r="F408" s="9">
        <v>5</v>
      </c>
      <c r="G408" s="10" t="s">
        <v>33</v>
      </c>
      <c r="H408" s="8" t="s">
        <v>86</v>
      </c>
      <c r="I408" s="8" t="s">
        <v>86</v>
      </c>
      <c r="J408" s="8" t="s">
        <v>28</v>
      </c>
      <c r="K408" s="8" t="s">
        <v>110</v>
      </c>
      <c r="L408" s="11">
        <v>6</v>
      </c>
      <c r="M408" s="11">
        <v>7.3</v>
      </c>
      <c r="N408" s="11">
        <v>7.9</v>
      </c>
      <c r="O408" s="11">
        <f>L408*4</f>
        <v>24</v>
      </c>
      <c r="P408" s="11">
        <f>M408*4</f>
        <v>29.2</v>
      </c>
      <c r="Q408" s="11">
        <f>N408*4</f>
        <v>31.6</v>
      </c>
      <c r="R408" s="12">
        <f>(4/3)*3.14*(Q408/2)^3</f>
        <v>16513.519573333335</v>
      </c>
      <c r="S408" s="12">
        <f>R408/1000</f>
        <v>16.513519573333333</v>
      </c>
    </row>
    <row r="409" spans="1:19" x14ac:dyDescent="0.25">
      <c r="A409" s="7">
        <v>410</v>
      </c>
      <c r="B409" s="8" t="s">
        <v>170</v>
      </c>
      <c r="C409" s="8" t="s">
        <v>431</v>
      </c>
      <c r="D409" s="7" t="s">
        <v>729</v>
      </c>
      <c r="E409" s="8" t="s">
        <v>744</v>
      </c>
      <c r="F409" s="9">
        <v>5</v>
      </c>
      <c r="G409" s="10" t="s">
        <v>33</v>
      </c>
      <c r="H409" s="8" t="s">
        <v>200</v>
      </c>
      <c r="I409" s="8" t="s">
        <v>200</v>
      </c>
      <c r="J409" s="8" t="s">
        <v>28</v>
      </c>
      <c r="K409" s="8" t="s">
        <v>110</v>
      </c>
      <c r="L409" s="11">
        <v>5.9</v>
      </c>
      <c r="M409" s="11">
        <v>5.9</v>
      </c>
      <c r="N409" s="11">
        <v>8.5</v>
      </c>
      <c r="O409" s="11">
        <f>L409*4</f>
        <v>23.6</v>
      </c>
      <c r="P409" s="11">
        <f>M409*4</f>
        <v>23.6</v>
      </c>
      <c r="Q409" s="11">
        <f>N409*4</f>
        <v>34</v>
      </c>
      <c r="R409" s="12">
        <f>(4/3)*3.14*(Q409/2)^3</f>
        <v>20569.093333333334</v>
      </c>
      <c r="S409" s="12">
        <f>R409/1000</f>
        <v>20.569093333333335</v>
      </c>
    </row>
    <row r="410" spans="1:19" x14ac:dyDescent="0.25">
      <c r="A410" s="7">
        <v>411</v>
      </c>
      <c r="B410" s="8" t="s">
        <v>170</v>
      </c>
      <c r="C410" s="8" t="s">
        <v>432</v>
      </c>
      <c r="D410" s="7" t="s">
        <v>729</v>
      </c>
      <c r="E410" s="8" t="s">
        <v>744</v>
      </c>
      <c r="F410" s="9">
        <v>5</v>
      </c>
      <c r="G410" s="10" t="s">
        <v>33</v>
      </c>
      <c r="H410" s="8" t="s">
        <v>86</v>
      </c>
      <c r="I410" s="8" t="s">
        <v>86</v>
      </c>
      <c r="J410" s="8"/>
      <c r="K410" s="8" t="s">
        <v>406</v>
      </c>
      <c r="L410" s="11">
        <v>6.4</v>
      </c>
      <c r="M410" s="11">
        <v>6.9</v>
      </c>
      <c r="N410" s="11">
        <v>8.4</v>
      </c>
      <c r="O410" s="11">
        <f>L410*4</f>
        <v>25.6</v>
      </c>
      <c r="P410" s="11">
        <f>M410*4</f>
        <v>27.6</v>
      </c>
      <c r="Q410" s="11">
        <f>N410*4</f>
        <v>33.6</v>
      </c>
      <c r="R410" s="12">
        <f>(4/3)*3.14*(Q410/2)^3</f>
        <v>19851.63264</v>
      </c>
      <c r="S410" s="12">
        <f>R410/1000</f>
        <v>19.851632639999998</v>
      </c>
    </row>
    <row r="411" spans="1:19" x14ac:dyDescent="0.25">
      <c r="A411" s="7">
        <v>412</v>
      </c>
      <c r="B411" s="8" t="s">
        <v>170</v>
      </c>
      <c r="C411" s="8" t="s">
        <v>433</v>
      </c>
      <c r="D411" s="7" t="s">
        <v>729</v>
      </c>
      <c r="E411" s="8" t="s">
        <v>744</v>
      </c>
      <c r="F411" s="9">
        <v>5</v>
      </c>
      <c r="G411" s="10" t="s">
        <v>33</v>
      </c>
      <c r="H411" s="8" t="s">
        <v>86</v>
      </c>
      <c r="I411" s="8" t="s">
        <v>86</v>
      </c>
      <c r="J411" s="8"/>
      <c r="K411" s="8" t="s">
        <v>406</v>
      </c>
      <c r="L411" s="11">
        <v>5.9</v>
      </c>
      <c r="M411" s="11">
        <v>5.7</v>
      </c>
      <c r="N411" s="11">
        <v>7.6</v>
      </c>
      <c r="O411" s="11">
        <f>L411*4</f>
        <v>23.6</v>
      </c>
      <c r="P411" s="11">
        <f>M411*4</f>
        <v>22.8</v>
      </c>
      <c r="Q411" s="11">
        <f>N411*4</f>
        <v>30.4</v>
      </c>
      <c r="R411" s="12">
        <f>(4/3)*3.14*(Q411/2)^3</f>
        <v>14702.769493333331</v>
      </c>
      <c r="S411" s="12">
        <f>R411/1000</f>
        <v>14.702769493333331</v>
      </c>
    </row>
    <row r="412" spans="1:19" x14ac:dyDescent="0.25">
      <c r="A412" s="7">
        <v>413</v>
      </c>
      <c r="B412" s="8" t="s">
        <v>170</v>
      </c>
      <c r="C412" s="8" t="s">
        <v>434</v>
      </c>
      <c r="D412" s="7" t="s">
        <v>729</v>
      </c>
      <c r="E412" s="8" t="s">
        <v>744</v>
      </c>
      <c r="F412" s="9">
        <v>5</v>
      </c>
      <c r="G412" s="10" t="s">
        <v>33</v>
      </c>
      <c r="H412" s="8" t="s">
        <v>86</v>
      </c>
      <c r="I412" s="8" t="s">
        <v>86</v>
      </c>
      <c r="J412" s="8"/>
      <c r="K412" s="8"/>
      <c r="L412" s="11">
        <v>5.5</v>
      </c>
      <c r="M412" s="11">
        <v>5</v>
      </c>
      <c r="N412" s="11">
        <v>7</v>
      </c>
      <c r="O412" s="11">
        <f>L412*4</f>
        <v>22</v>
      </c>
      <c r="P412" s="11">
        <f>M412*4</f>
        <v>20</v>
      </c>
      <c r="Q412" s="11">
        <f>N412*4</f>
        <v>28</v>
      </c>
      <c r="R412" s="12">
        <f>(4/3)*3.14*(Q412/2)^3</f>
        <v>11488.213333333333</v>
      </c>
      <c r="S412" s="12">
        <f>R412/1000</f>
        <v>11.488213333333332</v>
      </c>
    </row>
    <row r="413" spans="1:19" x14ac:dyDescent="0.25">
      <c r="A413" s="7">
        <v>414</v>
      </c>
      <c r="B413" s="8" t="s">
        <v>170</v>
      </c>
      <c r="C413" s="8" t="s">
        <v>527</v>
      </c>
      <c r="D413" s="7" t="s">
        <v>729</v>
      </c>
      <c r="E413" s="8" t="s">
        <v>744</v>
      </c>
      <c r="F413" s="9">
        <v>6</v>
      </c>
      <c r="G413" s="10" t="s">
        <v>33</v>
      </c>
      <c r="H413" s="8" t="s">
        <v>20</v>
      </c>
      <c r="I413" s="8" t="s">
        <v>21</v>
      </c>
      <c r="J413" s="8"/>
      <c r="K413" s="8" t="s">
        <v>110</v>
      </c>
      <c r="L413" s="11">
        <v>7.5</v>
      </c>
      <c r="M413" s="11">
        <v>6.2</v>
      </c>
      <c r="N413" s="11">
        <v>9.4</v>
      </c>
      <c r="O413" s="11">
        <f>L413*4</f>
        <v>30</v>
      </c>
      <c r="P413" s="11">
        <f>M413*4</f>
        <v>24.8</v>
      </c>
      <c r="Q413" s="11">
        <f>N413*4</f>
        <v>37.6</v>
      </c>
      <c r="R413" s="12">
        <f>(4/3)*3.14*(Q413/2)^3</f>
        <v>27819.026773333338</v>
      </c>
      <c r="S413" s="12">
        <f>R413/1000</f>
        <v>27.819026773333338</v>
      </c>
    </row>
    <row r="414" spans="1:19" x14ac:dyDescent="0.25">
      <c r="A414" s="7">
        <v>415</v>
      </c>
      <c r="B414" s="8" t="s">
        <v>170</v>
      </c>
      <c r="C414" s="8" t="s">
        <v>528</v>
      </c>
      <c r="D414" s="7" t="s">
        <v>729</v>
      </c>
      <c r="E414" s="8" t="s">
        <v>744</v>
      </c>
      <c r="F414" s="9">
        <v>4</v>
      </c>
      <c r="G414" s="10" t="s">
        <v>33</v>
      </c>
      <c r="H414" s="8" t="s">
        <v>203</v>
      </c>
      <c r="I414" s="8" t="s">
        <v>203</v>
      </c>
      <c r="J414" s="8"/>
      <c r="K414" s="8" t="s">
        <v>110</v>
      </c>
      <c r="L414" s="11">
        <v>5.8</v>
      </c>
      <c r="M414" s="11">
        <v>5.6</v>
      </c>
      <c r="N414" s="11">
        <v>7.7</v>
      </c>
      <c r="O414" s="11">
        <f>L414*4</f>
        <v>23.2</v>
      </c>
      <c r="P414" s="11">
        <f>M414*4</f>
        <v>22.4</v>
      </c>
      <c r="Q414" s="11">
        <f>N414*4</f>
        <v>30.8</v>
      </c>
      <c r="R414" s="12">
        <f>2/3*3.14*(Q414/2)^3</f>
        <v>7645.4059733333343</v>
      </c>
      <c r="S414" s="12">
        <f>R414/1000</f>
        <v>7.6454059733333342</v>
      </c>
    </row>
    <row r="415" spans="1:19" x14ac:dyDescent="0.25">
      <c r="A415" s="7">
        <v>416</v>
      </c>
      <c r="B415" s="8" t="s">
        <v>170</v>
      </c>
      <c r="C415" s="8" t="s">
        <v>634</v>
      </c>
      <c r="D415" s="7" t="s">
        <v>729</v>
      </c>
      <c r="E415" s="8" t="s">
        <v>744</v>
      </c>
      <c r="F415" s="9">
        <v>10</v>
      </c>
      <c r="G415" s="10" t="s">
        <v>33</v>
      </c>
      <c r="H415" s="8" t="s">
        <v>203</v>
      </c>
      <c r="I415" s="8" t="s">
        <v>203</v>
      </c>
      <c r="J415" s="8"/>
      <c r="K415" s="8" t="s">
        <v>406</v>
      </c>
      <c r="L415" s="11">
        <v>5</v>
      </c>
      <c r="M415" s="11">
        <v>7.1</v>
      </c>
      <c r="N415" s="11">
        <v>6.8</v>
      </c>
      <c r="O415" s="11">
        <f>L415*4</f>
        <v>20</v>
      </c>
      <c r="P415" s="11">
        <f>M415*4</f>
        <v>28.4</v>
      </c>
      <c r="Q415" s="11">
        <f>N415*4</f>
        <v>27.2</v>
      </c>
      <c r="R415" s="12">
        <f>4/3*3.14*(Q415/2)*(Q415/2)*(P415/2)</f>
        <v>10995.995306666666</v>
      </c>
      <c r="S415" s="12">
        <f>R415/1000</f>
        <v>10.995995306666666</v>
      </c>
    </row>
    <row r="416" spans="1:19" x14ac:dyDescent="0.25">
      <c r="A416" s="7">
        <v>417</v>
      </c>
      <c r="B416" s="8" t="s">
        <v>170</v>
      </c>
      <c r="C416" s="8" t="s">
        <v>529</v>
      </c>
      <c r="D416" s="7" t="s">
        <v>729</v>
      </c>
      <c r="E416" s="8" t="s">
        <v>744</v>
      </c>
      <c r="F416" s="9">
        <v>4</v>
      </c>
      <c r="G416" s="10" t="s">
        <v>25</v>
      </c>
      <c r="H416" s="8" t="s">
        <v>203</v>
      </c>
      <c r="I416" s="8" t="s">
        <v>203</v>
      </c>
      <c r="J416" s="8" t="s">
        <v>22</v>
      </c>
      <c r="K416" s="8" t="s">
        <v>406</v>
      </c>
      <c r="L416" s="11">
        <v>3.6</v>
      </c>
      <c r="M416" s="11">
        <v>4</v>
      </c>
      <c r="N416" s="11">
        <v>4.8</v>
      </c>
      <c r="O416" s="11">
        <f>L416*4</f>
        <v>14.4</v>
      </c>
      <c r="P416" s="11">
        <f>M416*4</f>
        <v>16</v>
      </c>
      <c r="Q416" s="11">
        <f>N416*4</f>
        <v>19.2</v>
      </c>
      <c r="R416" s="12">
        <f>2/3*3.14*(Q416/2)^3</f>
        <v>1852.04736</v>
      </c>
      <c r="S416" s="12">
        <f>R416/1000</f>
        <v>1.85204736</v>
      </c>
    </row>
    <row r="417" spans="1:19" x14ac:dyDescent="0.25">
      <c r="A417" s="7">
        <v>418</v>
      </c>
      <c r="B417" s="8" t="s">
        <v>170</v>
      </c>
      <c r="C417" s="8" t="s">
        <v>435</v>
      </c>
      <c r="D417" s="7" t="s">
        <v>729</v>
      </c>
      <c r="E417" s="8" t="s">
        <v>744</v>
      </c>
      <c r="F417" s="9">
        <v>5</v>
      </c>
      <c r="G417" s="10" t="s">
        <v>25</v>
      </c>
      <c r="H417" s="8" t="s">
        <v>20</v>
      </c>
      <c r="I417" s="8" t="s">
        <v>21</v>
      </c>
      <c r="J417" s="8"/>
      <c r="K417" s="8" t="s">
        <v>406</v>
      </c>
      <c r="L417" s="11">
        <v>3.9</v>
      </c>
      <c r="M417" s="11">
        <v>3.2</v>
      </c>
      <c r="N417" s="11">
        <v>4.8</v>
      </c>
      <c r="O417" s="11">
        <f>L417*4</f>
        <v>15.6</v>
      </c>
      <c r="P417" s="11">
        <f>M417*4</f>
        <v>12.8</v>
      </c>
      <c r="Q417" s="11">
        <f>N417*4</f>
        <v>19.2</v>
      </c>
      <c r="R417" s="12">
        <f>(4/3)*3.14*(Q417/2)^3</f>
        <v>3704.0947200000001</v>
      </c>
      <c r="S417" s="12">
        <f>R417/1000</f>
        <v>3.7040947200000001</v>
      </c>
    </row>
    <row r="418" spans="1:19" x14ac:dyDescent="0.25">
      <c r="A418" s="7">
        <v>419</v>
      </c>
      <c r="B418" s="8" t="s">
        <v>170</v>
      </c>
      <c r="C418" s="8" t="s">
        <v>436</v>
      </c>
      <c r="D418" s="7" t="s">
        <v>729</v>
      </c>
      <c r="E418" s="8" t="s">
        <v>744</v>
      </c>
      <c r="F418" s="9">
        <v>5</v>
      </c>
      <c r="G418" s="10" t="s">
        <v>19</v>
      </c>
      <c r="H418" s="8" t="s">
        <v>20</v>
      </c>
      <c r="I418" s="8" t="s">
        <v>21</v>
      </c>
      <c r="J418" s="8" t="s">
        <v>132</v>
      </c>
      <c r="K418" s="8" t="s">
        <v>110</v>
      </c>
      <c r="L418" s="11">
        <v>2.1</v>
      </c>
      <c r="M418" s="11">
        <v>1.8</v>
      </c>
      <c r="N418" s="11">
        <v>2.5</v>
      </c>
      <c r="O418" s="11">
        <f>L418*4</f>
        <v>8.4</v>
      </c>
      <c r="P418" s="11">
        <f>M418*4</f>
        <v>7.2</v>
      </c>
      <c r="Q418" s="11">
        <f>N418*4</f>
        <v>10</v>
      </c>
      <c r="R418" s="12">
        <f>(4/3)*3.14*(Q418/2)^3</f>
        <v>523.33333333333337</v>
      </c>
      <c r="S418" s="12">
        <f>R418/1000</f>
        <v>0.52333333333333332</v>
      </c>
    </row>
    <row r="419" spans="1:19" x14ac:dyDescent="0.25">
      <c r="A419" s="7">
        <v>420</v>
      </c>
      <c r="B419" s="8" t="s">
        <v>170</v>
      </c>
      <c r="C419" s="8" t="s">
        <v>437</v>
      </c>
      <c r="D419" s="7" t="s">
        <v>729</v>
      </c>
      <c r="E419" s="8" t="s">
        <v>744</v>
      </c>
      <c r="F419" s="9">
        <v>5</v>
      </c>
      <c r="G419" s="10" t="s">
        <v>19</v>
      </c>
      <c r="H419" s="8" t="s">
        <v>20</v>
      </c>
      <c r="I419" s="8" t="s">
        <v>21</v>
      </c>
      <c r="J419" s="8" t="s">
        <v>132</v>
      </c>
      <c r="K419" s="8" t="s">
        <v>110</v>
      </c>
      <c r="L419" s="11">
        <v>1.6</v>
      </c>
      <c r="M419" s="11">
        <v>1.7</v>
      </c>
      <c r="N419" s="11">
        <v>2.4</v>
      </c>
      <c r="O419" s="11">
        <f>L419*4</f>
        <v>6.4</v>
      </c>
      <c r="P419" s="11">
        <f>M419*4</f>
        <v>6.8</v>
      </c>
      <c r="Q419" s="11">
        <f>N419*4</f>
        <v>9.6</v>
      </c>
      <c r="R419" s="12">
        <f>(4/3)*3.14*(Q419/2)^3</f>
        <v>463.01184000000001</v>
      </c>
      <c r="S419" s="12">
        <f>R419/1000</f>
        <v>0.46301184000000001</v>
      </c>
    </row>
    <row r="420" spans="1:19" x14ac:dyDescent="0.25">
      <c r="A420" s="7">
        <v>421</v>
      </c>
      <c r="B420" s="8" t="s">
        <v>170</v>
      </c>
      <c r="C420" s="8" t="s">
        <v>438</v>
      </c>
      <c r="D420" s="7" t="s">
        <v>729</v>
      </c>
      <c r="E420" s="8" t="s">
        <v>744</v>
      </c>
      <c r="F420" s="9">
        <v>5</v>
      </c>
      <c r="G420" s="10" t="s">
        <v>19</v>
      </c>
      <c r="H420" s="8" t="s">
        <v>20</v>
      </c>
      <c r="I420" s="8" t="s">
        <v>21</v>
      </c>
      <c r="J420" s="8"/>
      <c r="K420" s="8" t="s">
        <v>110</v>
      </c>
      <c r="L420" s="11">
        <v>1.7</v>
      </c>
      <c r="M420" s="11">
        <v>1.6</v>
      </c>
      <c r="N420" s="11">
        <v>2.6</v>
      </c>
      <c r="O420" s="11">
        <f>L420*4</f>
        <v>6.8</v>
      </c>
      <c r="P420" s="11">
        <f>M420*4</f>
        <v>6.4</v>
      </c>
      <c r="Q420" s="11">
        <f>N420*4</f>
        <v>10.4</v>
      </c>
      <c r="R420" s="12">
        <f>(4/3)*3.14*(Q420/2)^3</f>
        <v>588.67882666666674</v>
      </c>
      <c r="S420" s="12">
        <f>R420/1000</f>
        <v>0.58867882666666671</v>
      </c>
    </row>
    <row r="421" spans="1:19" x14ac:dyDescent="0.25">
      <c r="A421" s="7">
        <v>422</v>
      </c>
      <c r="B421" s="8" t="s">
        <v>170</v>
      </c>
      <c r="C421" s="8" t="s">
        <v>439</v>
      </c>
      <c r="D421" s="7" t="s">
        <v>729</v>
      </c>
      <c r="E421" s="8" t="s">
        <v>744</v>
      </c>
      <c r="F421" s="9">
        <v>5</v>
      </c>
      <c r="G421" s="10" t="s">
        <v>19</v>
      </c>
      <c r="H421" s="8" t="s">
        <v>20</v>
      </c>
      <c r="I421" s="8" t="s">
        <v>21</v>
      </c>
      <c r="J421" s="8"/>
      <c r="K421" s="8" t="s">
        <v>110</v>
      </c>
      <c r="L421" s="11">
        <v>1.6</v>
      </c>
      <c r="M421" s="11">
        <v>1.9</v>
      </c>
      <c r="N421" s="11">
        <v>2.5</v>
      </c>
      <c r="O421" s="11">
        <f>L421*4</f>
        <v>6.4</v>
      </c>
      <c r="P421" s="11">
        <f>M421*4</f>
        <v>7.6</v>
      </c>
      <c r="Q421" s="11">
        <f>N421*4</f>
        <v>10</v>
      </c>
      <c r="R421" s="12">
        <f>(4/3)*3.14*(Q421/2)^3</f>
        <v>523.33333333333337</v>
      </c>
      <c r="S421" s="12">
        <f>R421/1000</f>
        <v>0.52333333333333332</v>
      </c>
    </row>
    <row r="422" spans="1:19" x14ac:dyDescent="0.25">
      <c r="A422" s="7">
        <v>423</v>
      </c>
      <c r="B422" s="8" t="s">
        <v>170</v>
      </c>
      <c r="C422" s="8" t="s">
        <v>440</v>
      </c>
      <c r="D422" s="7" t="s">
        <v>729</v>
      </c>
      <c r="E422" s="8" t="s">
        <v>744</v>
      </c>
      <c r="F422" s="9">
        <v>5</v>
      </c>
      <c r="G422" s="10" t="s">
        <v>19</v>
      </c>
      <c r="H422" s="8" t="s">
        <v>20</v>
      </c>
      <c r="I422" s="8" t="s">
        <v>21</v>
      </c>
      <c r="J422" s="8"/>
      <c r="K422" s="8" t="s">
        <v>110</v>
      </c>
      <c r="L422" s="11">
        <v>1.9</v>
      </c>
      <c r="M422" s="11">
        <v>2.1</v>
      </c>
      <c r="N422" s="11">
        <v>2.9</v>
      </c>
      <c r="O422" s="11">
        <f>L422*4</f>
        <v>7.6</v>
      </c>
      <c r="P422" s="11">
        <f>M422*4</f>
        <v>8.4</v>
      </c>
      <c r="Q422" s="11">
        <f>N422*4</f>
        <v>11.6</v>
      </c>
      <c r="R422" s="12">
        <f>(4/3)*3.14*(Q422/2)^3</f>
        <v>816.86890666666659</v>
      </c>
      <c r="S422" s="12">
        <f>R422/1000</f>
        <v>0.81686890666666656</v>
      </c>
    </row>
    <row r="423" spans="1:19" x14ac:dyDescent="0.25">
      <c r="A423" s="7">
        <v>424</v>
      </c>
      <c r="B423" s="8" t="s">
        <v>170</v>
      </c>
      <c r="C423" s="8" t="s">
        <v>257</v>
      </c>
      <c r="D423" s="7" t="s">
        <v>729</v>
      </c>
      <c r="E423" s="8" t="s">
        <v>744</v>
      </c>
      <c r="F423" s="9">
        <v>4</v>
      </c>
      <c r="G423" s="10" t="s">
        <v>19</v>
      </c>
      <c r="H423" s="8" t="s">
        <v>26</v>
      </c>
      <c r="I423" s="8" t="s">
        <v>27</v>
      </c>
      <c r="J423" s="8" t="s">
        <v>28</v>
      </c>
      <c r="K423" s="8" t="s">
        <v>110</v>
      </c>
      <c r="L423" s="11">
        <v>2.5</v>
      </c>
      <c r="M423" s="11">
        <v>1.3</v>
      </c>
      <c r="N423" s="11">
        <v>2.5</v>
      </c>
      <c r="O423" s="11">
        <f>L423*4</f>
        <v>10</v>
      </c>
      <c r="P423" s="11">
        <f>M423*4</f>
        <v>5.2</v>
      </c>
      <c r="Q423" s="11">
        <f>N423*4</f>
        <v>10</v>
      </c>
      <c r="R423" s="12">
        <f>2/3*3.14*(Q423/2)^3</f>
        <v>261.66666666666669</v>
      </c>
      <c r="S423" s="12">
        <f>R423/1000</f>
        <v>0.26166666666666666</v>
      </c>
    </row>
    <row r="424" spans="1:19" x14ac:dyDescent="0.25">
      <c r="A424" s="7">
        <v>425</v>
      </c>
      <c r="B424" s="8" t="s">
        <v>170</v>
      </c>
      <c r="C424" s="8" t="s">
        <v>577</v>
      </c>
      <c r="D424" s="7" t="s">
        <v>729</v>
      </c>
      <c r="E424" s="8" t="s">
        <v>744</v>
      </c>
      <c r="F424" s="9">
        <v>7</v>
      </c>
      <c r="G424" s="10" t="s">
        <v>19</v>
      </c>
      <c r="H424" s="8" t="s">
        <v>20</v>
      </c>
      <c r="I424" s="8" t="s">
        <v>21</v>
      </c>
      <c r="J424" s="8" t="s">
        <v>132</v>
      </c>
      <c r="K424" s="8"/>
      <c r="L424" s="11">
        <v>2.6</v>
      </c>
      <c r="M424" s="11">
        <v>1.9</v>
      </c>
      <c r="N424" s="11">
        <v>3.1</v>
      </c>
      <c r="O424" s="11">
        <f>L424*4</f>
        <v>10.4</v>
      </c>
      <c r="P424" s="11">
        <f>M424*4</f>
        <v>7.6</v>
      </c>
      <c r="Q424" s="11">
        <f>N424*4</f>
        <v>12.4</v>
      </c>
      <c r="R424" s="12">
        <f>4/3*3.14*(Q424/2)*(Q424/2)*(P424/2)</f>
        <v>611.5547733333334</v>
      </c>
      <c r="S424" s="12">
        <f>R424/1000</f>
        <v>0.61155477333333341</v>
      </c>
    </row>
    <row r="425" spans="1:19" x14ac:dyDescent="0.25">
      <c r="A425" s="7">
        <v>426</v>
      </c>
      <c r="B425" s="8" t="s">
        <v>170</v>
      </c>
      <c r="C425" s="8" t="s">
        <v>578</v>
      </c>
      <c r="D425" s="7" t="s">
        <v>729</v>
      </c>
      <c r="E425" s="8" t="s">
        <v>744</v>
      </c>
      <c r="F425" s="9">
        <v>7</v>
      </c>
      <c r="G425" s="10" t="s">
        <v>19</v>
      </c>
      <c r="H425" s="8" t="s">
        <v>20</v>
      </c>
      <c r="I425" s="8" t="s">
        <v>21</v>
      </c>
      <c r="J425" s="8" t="s">
        <v>132</v>
      </c>
      <c r="K425" s="8" t="s">
        <v>110</v>
      </c>
      <c r="L425" s="11">
        <v>2.2999999999999998</v>
      </c>
      <c r="M425" s="11">
        <v>1.6</v>
      </c>
      <c r="N425" s="11">
        <v>2.9</v>
      </c>
      <c r="O425" s="11">
        <f>L425*4</f>
        <v>9.1999999999999993</v>
      </c>
      <c r="P425" s="11">
        <f>M425*4</f>
        <v>6.4</v>
      </c>
      <c r="Q425" s="11">
        <f>N425*4</f>
        <v>11.6</v>
      </c>
      <c r="R425" s="12">
        <f>4/3*3.14*(Q425/2)*(Q425/2)*(P425/2)</f>
        <v>450.68629333333331</v>
      </c>
      <c r="S425" s="12">
        <f>R425/1000</f>
        <v>0.45068629333333332</v>
      </c>
    </row>
    <row r="426" spans="1:19" x14ac:dyDescent="0.25">
      <c r="A426" s="7">
        <v>427</v>
      </c>
      <c r="B426" s="8" t="s">
        <v>170</v>
      </c>
      <c r="C426" s="8" t="s">
        <v>579</v>
      </c>
      <c r="D426" s="7" t="s">
        <v>729</v>
      </c>
      <c r="E426" s="8" t="s">
        <v>744</v>
      </c>
      <c r="F426" s="9">
        <v>7</v>
      </c>
      <c r="G426" s="10" t="s">
        <v>19</v>
      </c>
      <c r="H426" s="8" t="s">
        <v>20</v>
      </c>
      <c r="I426" s="8" t="s">
        <v>21</v>
      </c>
      <c r="J426" s="8" t="s">
        <v>28</v>
      </c>
      <c r="K426" s="8" t="s">
        <v>110</v>
      </c>
      <c r="L426" s="11">
        <v>2.6</v>
      </c>
      <c r="M426" s="11">
        <v>1.7</v>
      </c>
      <c r="N426" s="11">
        <v>3.4</v>
      </c>
      <c r="O426" s="11">
        <f>L426*4</f>
        <v>10.4</v>
      </c>
      <c r="P426" s="11">
        <f>M426*4</f>
        <v>6.8</v>
      </c>
      <c r="Q426" s="11">
        <f>N426*4</f>
        <v>13.6</v>
      </c>
      <c r="R426" s="12">
        <f>4/3*3.14*(Q426/2)*(Q426/2)*(P426/2)</f>
        <v>658.2109866666666</v>
      </c>
      <c r="S426" s="12">
        <f>R426/1000</f>
        <v>0.65821098666666655</v>
      </c>
    </row>
    <row r="427" spans="1:19" x14ac:dyDescent="0.25">
      <c r="A427" s="7">
        <v>428</v>
      </c>
      <c r="B427" s="8" t="s">
        <v>170</v>
      </c>
      <c r="C427" s="8" t="s">
        <v>258</v>
      </c>
      <c r="D427" s="7" t="s">
        <v>729</v>
      </c>
      <c r="E427" s="8" t="s">
        <v>744</v>
      </c>
      <c r="F427" s="9">
        <v>4</v>
      </c>
      <c r="G427" s="10" t="s">
        <v>19</v>
      </c>
      <c r="H427" s="8" t="s">
        <v>20</v>
      </c>
      <c r="I427" s="8" t="s">
        <v>21</v>
      </c>
      <c r="J427" s="8"/>
      <c r="K427" s="8"/>
      <c r="L427" s="11">
        <v>2.9</v>
      </c>
      <c r="M427" s="11">
        <v>2.2000000000000002</v>
      </c>
      <c r="N427" s="11">
        <v>2.9</v>
      </c>
      <c r="O427" s="11">
        <f>L427*4</f>
        <v>11.6</v>
      </c>
      <c r="P427" s="11">
        <f>M427*4</f>
        <v>8.8000000000000007</v>
      </c>
      <c r="Q427" s="11">
        <f>N427*4</f>
        <v>11.6</v>
      </c>
      <c r="R427" s="12">
        <f>2/3*3.14*(Q427/2)^3</f>
        <v>408.43445333333329</v>
      </c>
      <c r="S427" s="12">
        <f>R427/1000</f>
        <v>0.40843445333333328</v>
      </c>
    </row>
    <row r="428" spans="1:19" x14ac:dyDescent="0.25">
      <c r="A428" s="7">
        <v>429</v>
      </c>
      <c r="B428" s="8" t="s">
        <v>170</v>
      </c>
      <c r="C428" s="8" t="s">
        <v>259</v>
      </c>
      <c r="D428" s="7" t="s">
        <v>729</v>
      </c>
      <c r="E428" s="8" t="s">
        <v>744</v>
      </c>
      <c r="F428" s="9">
        <v>4</v>
      </c>
      <c r="G428" s="10" t="s">
        <v>19</v>
      </c>
      <c r="H428" s="8" t="s">
        <v>26</v>
      </c>
      <c r="I428" s="8" t="s">
        <v>27</v>
      </c>
      <c r="J428" s="8" t="s">
        <v>134</v>
      </c>
      <c r="K428" s="8"/>
      <c r="L428" s="11">
        <v>2.5</v>
      </c>
      <c r="M428" s="11">
        <v>2.2000000000000002</v>
      </c>
      <c r="N428" s="11">
        <v>2.5</v>
      </c>
      <c r="O428" s="11">
        <f>L428*4</f>
        <v>10</v>
      </c>
      <c r="P428" s="11">
        <f>M428*4</f>
        <v>8.8000000000000007</v>
      </c>
      <c r="Q428" s="11">
        <f>N428*4</f>
        <v>10</v>
      </c>
      <c r="R428" s="12">
        <f>2/3*3.14*(Q428/2)^3</f>
        <v>261.66666666666669</v>
      </c>
      <c r="S428" s="12">
        <f>R428/1000</f>
        <v>0.26166666666666666</v>
      </c>
    </row>
    <row r="429" spans="1:19" x14ac:dyDescent="0.25">
      <c r="A429" s="7">
        <v>430</v>
      </c>
      <c r="B429" s="8" t="s">
        <v>170</v>
      </c>
      <c r="C429" s="8" t="s">
        <v>260</v>
      </c>
      <c r="D429" s="7" t="s">
        <v>729</v>
      </c>
      <c r="E429" s="8" t="s">
        <v>744</v>
      </c>
      <c r="F429" s="9">
        <v>4</v>
      </c>
      <c r="G429" s="10" t="s">
        <v>19</v>
      </c>
      <c r="H429" s="8" t="s">
        <v>20</v>
      </c>
      <c r="I429" s="8" t="s">
        <v>21</v>
      </c>
      <c r="J429" s="8" t="s">
        <v>134</v>
      </c>
      <c r="K429" s="8"/>
      <c r="L429" s="11">
        <v>2.4</v>
      </c>
      <c r="M429" s="11">
        <v>2.2999999999999998</v>
      </c>
      <c r="N429" s="11">
        <v>2.6</v>
      </c>
      <c r="O429" s="11">
        <f>L429*4</f>
        <v>9.6</v>
      </c>
      <c r="P429" s="11">
        <f>M429*4</f>
        <v>9.1999999999999993</v>
      </c>
      <c r="Q429" s="11">
        <f>N429*4</f>
        <v>10.4</v>
      </c>
      <c r="R429" s="12">
        <f>2/3*3.14*(Q429/2)^3</f>
        <v>294.33941333333337</v>
      </c>
      <c r="S429" s="12">
        <f>R429/1000</f>
        <v>0.29433941333333336</v>
      </c>
    </row>
    <row r="430" spans="1:19" x14ac:dyDescent="0.25">
      <c r="A430" s="7">
        <v>431</v>
      </c>
      <c r="B430" s="8" t="s">
        <v>170</v>
      </c>
      <c r="C430" s="8" t="s">
        <v>171</v>
      </c>
      <c r="D430" s="7" t="s">
        <v>729</v>
      </c>
      <c r="E430" s="8" t="s">
        <v>744</v>
      </c>
      <c r="F430" s="9">
        <v>3</v>
      </c>
      <c r="G430" s="10" t="s">
        <v>19</v>
      </c>
      <c r="H430" s="8" t="s">
        <v>20</v>
      </c>
      <c r="I430" s="8" t="s">
        <v>21</v>
      </c>
      <c r="J430" s="8" t="s">
        <v>132</v>
      </c>
      <c r="K430" s="8"/>
      <c r="L430" s="11">
        <v>3</v>
      </c>
      <c r="M430" s="11">
        <v>1.7</v>
      </c>
      <c r="N430" s="11">
        <v>3.3</v>
      </c>
      <c r="O430" s="11">
        <f>L430*4</f>
        <v>12</v>
      </c>
      <c r="P430" s="11">
        <f>M430*4</f>
        <v>6.8</v>
      </c>
      <c r="Q430" s="11">
        <f>N430*4</f>
        <v>13.2</v>
      </c>
      <c r="R430" s="12">
        <f>4/3*3.14*(Q430/2)*(Q430/2)*(P430/2)</f>
        <v>620.06207999999992</v>
      </c>
      <c r="S430" s="12">
        <f>R430/1000</f>
        <v>0.62006207999999996</v>
      </c>
    </row>
    <row r="431" spans="1:19" x14ac:dyDescent="0.25">
      <c r="A431" s="7">
        <v>432</v>
      </c>
      <c r="B431" s="8" t="s">
        <v>170</v>
      </c>
      <c r="C431" s="8" t="s">
        <v>172</v>
      </c>
      <c r="D431" s="7" t="s">
        <v>729</v>
      </c>
      <c r="E431" s="8" t="s">
        <v>744</v>
      </c>
      <c r="F431" s="9">
        <v>3</v>
      </c>
      <c r="G431" s="10" t="s">
        <v>19</v>
      </c>
      <c r="H431" s="8" t="s">
        <v>20</v>
      </c>
      <c r="I431" s="8" t="s">
        <v>21</v>
      </c>
      <c r="J431" s="8" t="s">
        <v>132</v>
      </c>
      <c r="K431" s="8"/>
      <c r="L431" s="11">
        <v>2.8</v>
      </c>
      <c r="M431" s="11">
        <v>2</v>
      </c>
      <c r="N431" s="11">
        <v>3.4</v>
      </c>
      <c r="O431" s="11">
        <f>L431*4</f>
        <v>11.2</v>
      </c>
      <c r="P431" s="11">
        <f>M431*4</f>
        <v>8</v>
      </c>
      <c r="Q431" s="11">
        <f>N431*4</f>
        <v>13.6</v>
      </c>
      <c r="R431" s="12">
        <f>4/3*3.14*(Q431/2)*(Q431/2)*(P431/2)</f>
        <v>774.36586666666665</v>
      </c>
      <c r="S431" s="12">
        <f>R431/1000</f>
        <v>0.77436586666666662</v>
      </c>
    </row>
    <row r="432" spans="1:19" x14ac:dyDescent="0.25">
      <c r="A432" s="7">
        <v>433</v>
      </c>
      <c r="B432" s="8" t="s">
        <v>170</v>
      </c>
      <c r="C432" s="8" t="s">
        <v>441</v>
      </c>
      <c r="D432" s="7" t="s">
        <v>729</v>
      </c>
      <c r="E432" s="8" t="s">
        <v>744</v>
      </c>
      <c r="F432" s="9">
        <v>5</v>
      </c>
      <c r="G432" s="10" t="s">
        <v>19</v>
      </c>
      <c r="H432" s="8" t="s">
        <v>20</v>
      </c>
      <c r="I432" s="8" t="s">
        <v>21</v>
      </c>
      <c r="J432" s="8" t="s">
        <v>132</v>
      </c>
      <c r="K432" s="8"/>
      <c r="L432" s="11">
        <v>2.2999999999999998</v>
      </c>
      <c r="M432" s="11">
        <v>2.1</v>
      </c>
      <c r="N432" s="11">
        <v>2.8</v>
      </c>
      <c r="O432" s="11">
        <f>L432*4</f>
        <v>9.1999999999999993</v>
      </c>
      <c r="P432" s="11">
        <f>M432*4</f>
        <v>8.4</v>
      </c>
      <c r="Q432" s="11">
        <f>N432*4</f>
        <v>11.2</v>
      </c>
      <c r="R432" s="12">
        <f>(4/3)*3.14*(Q432/2)^3</f>
        <v>735.24565333333317</v>
      </c>
      <c r="S432" s="12">
        <f>R432/1000</f>
        <v>0.73524565333333314</v>
      </c>
    </row>
    <row r="433" spans="1:19" x14ac:dyDescent="0.25">
      <c r="A433" s="7">
        <v>434</v>
      </c>
      <c r="B433" s="8" t="s">
        <v>170</v>
      </c>
      <c r="C433" s="8" t="s">
        <v>442</v>
      </c>
      <c r="D433" s="7" t="s">
        <v>729</v>
      </c>
      <c r="E433" s="8" t="s">
        <v>744</v>
      </c>
      <c r="F433" s="9">
        <v>5</v>
      </c>
      <c r="G433" s="10" t="s">
        <v>25</v>
      </c>
      <c r="H433" s="8" t="s">
        <v>26</v>
      </c>
      <c r="I433" s="8" t="s">
        <v>27</v>
      </c>
      <c r="J433" s="8"/>
      <c r="K433" s="8"/>
      <c r="L433" s="11">
        <v>4.2</v>
      </c>
      <c r="M433" s="11">
        <v>3.2</v>
      </c>
      <c r="N433" s="11">
        <v>4.5999999999999996</v>
      </c>
      <c r="O433" s="11">
        <f>L433*4</f>
        <v>16.8</v>
      </c>
      <c r="P433" s="11">
        <f>M433*4</f>
        <v>12.8</v>
      </c>
      <c r="Q433" s="11">
        <f>N433*4</f>
        <v>18.399999999999999</v>
      </c>
      <c r="R433" s="12">
        <f>(4/3)*3.14*(Q433/2)^3</f>
        <v>3260.1070933333322</v>
      </c>
      <c r="S433" s="12">
        <f>R433/1000</f>
        <v>3.2601070933333323</v>
      </c>
    </row>
    <row r="434" spans="1:19" x14ac:dyDescent="0.25">
      <c r="A434" s="7">
        <v>435</v>
      </c>
      <c r="B434" s="8" t="s">
        <v>170</v>
      </c>
      <c r="C434" s="8" t="s">
        <v>443</v>
      </c>
      <c r="D434" s="7" t="s">
        <v>729</v>
      </c>
      <c r="E434" s="8" t="s">
        <v>744</v>
      </c>
      <c r="F434" s="9">
        <v>5</v>
      </c>
      <c r="G434" s="10" t="s">
        <v>25</v>
      </c>
      <c r="H434" s="8" t="s">
        <v>26</v>
      </c>
      <c r="I434" s="8" t="s">
        <v>27</v>
      </c>
      <c r="J434" s="8"/>
      <c r="K434" s="8"/>
      <c r="L434" s="11">
        <v>3.8</v>
      </c>
      <c r="M434" s="11">
        <v>3.2</v>
      </c>
      <c r="N434" s="11">
        <v>4.3</v>
      </c>
      <c r="O434" s="11">
        <f>L434*4</f>
        <v>15.2</v>
      </c>
      <c r="P434" s="11">
        <f>M434*4</f>
        <v>12.8</v>
      </c>
      <c r="Q434" s="11">
        <f>N434*4</f>
        <v>17.2</v>
      </c>
      <c r="R434" s="12">
        <f>(4/3)*3.14*(Q434/2)^3</f>
        <v>2662.9544533333328</v>
      </c>
      <c r="S434" s="12">
        <f>R434/1000</f>
        <v>2.6629544533333327</v>
      </c>
    </row>
    <row r="435" spans="1:19" x14ac:dyDescent="0.25">
      <c r="A435" s="7">
        <v>436</v>
      </c>
      <c r="B435" s="8" t="s">
        <v>170</v>
      </c>
      <c r="C435" s="8" t="s">
        <v>444</v>
      </c>
      <c r="D435" s="7" t="s">
        <v>729</v>
      </c>
      <c r="E435" s="8" t="s">
        <v>744</v>
      </c>
      <c r="F435" s="9">
        <v>5</v>
      </c>
      <c r="G435" s="10" t="s">
        <v>25</v>
      </c>
      <c r="H435" s="8" t="s">
        <v>54</v>
      </c>
      <c r="I435" s="8" t="s">
        <v>55</v>
      </c>
      <c r="J435" s="8"/>
      <c r="K435" s="8"/>
      <c r="L435" s="11">
        <v>3.1</v>
      </c>
      <c r="M435" s="11">
        <v>2.2999999999999998</v>
      </c>
      <c r="N435" s="11">
        <v>3.4</v>
      </c>
      <c r="O435" s="11">
        <f>L435*4</f>
        <v>12.4</v>
      </c>
      <c r="P435" s="11">
        <f>M435*4</f>
        <v>9.1999999999999993</v>
      </c>
      <c r="Q435" s="11">
        <f>N435*4</f>
        <v>13.6</v>
      </c>
      <c r="R435" s="12">
        <f>(4/3)*3.14*(Q435/2)^3</f>
        <v>1316.4219733333332</v>
      </c>
      <c r="S435" s="12">
        <f>R435/1000</f>
        <v>1.3164219733333331</v>
      </c>
    </row>
    <row r="436" spans="1:19" x14ac:dyDescent="0.25">
      <c r="A436" s="7">
        <v>437</v>
      </c>
      <c r="B436" s="8" t="s">
        <v>170</v>
      </c>
      <c r="C436" s="8" t="s">
        <v>261</v>
      </c>
      <c r="D436" s="7" t="s">
        <v>729</v>
      </c>
      <c r="E436" s="8" t="s">
        <v>744</v>
      </c>
      <c r="F436" s="9">
        <v>4</v>
      </c>
      <c r="G436" s="10" t="s">
        <v>19</v>
      </c>
      <c r="H436" s="8" t="s">
        <v>26</v>
      </c>
      <c r="I436" s="8" t="s">
        <v>27</v>
      </c>
      <c r="J436" s="8"/>
      <c r="K436" s="8"/>
      <c r="L436" s="11">
        <v>2.6</v>
      </c>
      <c r="M436" s="11">
        <v>2</v>
      </c>
      <c r="N436" s="11">
        <v>2.9</v>
      </c>
      <c r="O436" s="11">
        <f>L436*4</f>
        <v>10.4</v>
      </c>
      <c r="P436" s="11">
        <f>M436*4</f>
        <v>8</v>
      </c>
      <c r="Q436" s="11">
        <f>N436*4</f>
        <v>11.6</v>
      </c>
      <c r="R436" s="12">
        <f>2/3*3.14*(Q436/2)^3</f>
        <v>408.43445333333329</v>
      </c>
      <c r="S436" s="12">
        <f>R436/1000</f>
        <v>0.40843445333333328</v>
      </c>
    </row>
    <row r="437" spans="1:19" x14ac:dyDescent="0.25">
      <c r="A437" s="7">
        <v>438</v>
      </c>
      <c r="B437" s="8" t="s">
        <v>170</v>
      </c>
      <c r="C437" s="8" t="s">
        <v>445</v>
      </c>
      <c r="D437" s="7" t="s">
        <v>729</v>
      </c>
      <c r="E437" s="8" t="s">
        <v>744</v>
      </c>
      <c r="F437" s="9">
        <v>5</v>
      </c>
      <c r="G437" s="10" t="s">
        <v>25</v>
      </c>
      <c r="H437" s="8" t="s">
        <v>20</v>
      </c>
      <c r="I437" s="8" t="s">
        <v>21</v>
      </c>
      <c r="J437" s="8"/>
      <c r="K437" s="8"/>
      <c r="L437" s="11">
        <v>2.9</v>
      </c>
      <c r="M437" s="11">
        <v>3.2</v>
      </c>
      <c r="N437" s="11">
        <v>3.9</v>
      </c>
      <c r="O437" s="11">
        <f>L437*4</f>
        <v>11.6</v>
      </c>
      <c r="P437" s="11">
        <f>M437*4</f>
        <v>12.8</v>
      </c>
      <c r="Q437" s="11">
        <f>N437*4</f>
        <v>15.6</v>
      </c>
      <c r="R437" s="12">
        <f>(4/3)*3.14*(Q437/2)^3</f>
        <v>1986.7910399999998</v>
      </c>
      <c r="S437" s="12">
        <f>R437/1000</f>
        <v>1.9867910399999997</v>
      </c>
    </row>
    <row r="438" spans="1:19" x14ac:dyDescent="0.25">
      <c r="A438" s="7">
        <v>439</v>
      </c>
      <c r="B438" s="8" t="s">
        <v>170</v>
      </c>
      <c r="C438" s="8" t="s">
        <v>262</v>
      </c>
      <c r="D438" s="7" t="s">
        <v>729</v>
      </c>
      <c r="E438" s="8" t="s">
        <v>744</v>
      </c>
      <c r="F438" s="9">
        <v>4</v>
      </c>
      <c r="G438" s="10" t="s">
        <v>19</v>
      </c>
      <c r="H438" s="8" t="s">
        <v>154</v>
      </c>
      <c r="I438" s="8" t="s">
        <v>155</v>
      </c>
      <c r="J438" s="8" t="s">
        <v>22</v>
      </c>
      <c r="K438" s="8"/>
      <c r="L438" s="11">
        <v>3.5</v>
      </c>
      <c r="M438" s="11">
        <v>2.9</v>
      </c>
      <c r="N438" s="11">
        <v>3.3</v>
      </c>
      <c r="O438" s="11">
        <f>L438*4</f>
        <v>14</v>
      </c>
      <c r="P438" s="11">
        <f>M438*4</f>
        <v>11.6</v>
      </c>
      <c r="Q438" s="11">
        <f>N438*4</f>
        <v>13.2</v>
      </c>
      <c r="R438" s="12">
        <f>2/3*3.14*(Q438/2)^3</f>
        <v>601.82495999999992</v>
      </c>
      <c r="S438" s="12">
        <f>R438/1000</f>
        <v>0.60182495999999996</v>
      </c>
    </row>
    <row r="439" spans="1:19" x14ac:dyDescent="0.25">
      <c r="A439" s="7">
        <v>440</v>
      </c>
      <c r="B439" s="8" t="s">
        <v>170</v>
      </c>
      <c r="C439" s="8" t="s">
        <v>446</v>
      </c>
      <c r="D439" s="7" t="s">
        <v>729</v>
      </c>
      <c r="E439" s="8" t="s">
        <v>744</v>
      </c>
      <c r="F439" s="9">
        <v>5</v>
      </c>
      <c r="G439" s="10" t="s">
        <v>25</v>
      </c>
      <c r="H439" s="8" t="s">
        <v>60</v>
      </c>
      <c r="I439" s="8" t="s">
        <v>61</v>
      </c>
      <c r="J439" s="8"/>
      <c r="K439" s="8"/>
      <c r="L439" s="11">
        <v>2.7</v>
      </c>
      <c r="M439" s="11">
        <v>2.8</v>
      </c>
      <c r="N439" s="11">
        <v>3.6</v>
      </c>
      <c r="O439" s="11">
        <f>L439*4</f>
        <v>10.8</v>
      </c>
      <c r="P439" s="11">
        <f>M439*4</f>
        <v>11.2</v>
      </c>
      <c r="Q439" s="11">
        <f>N439*4</f>
        <v>14.4</v>
      </c>
      <c r="R439" s="12">
        <f>(4/3)*3.14*(Q439/2)^3</f>
        <v>1562.6649600000001</v>
      </c>
      <c r="S439" s="12">
        <f>R439/1000</f>
        <v>1.56266496</v>
      </c>
    </row>
    <row r="440" spans="1:19" x14ac:dyDescent="0.25">
      <c r="A440" s="7">
        <v>441</v>
      </c>
      <c r="B440" s="8" t="s">
        <v>170</v>
      </c>
      <c r="C440" s="8" t="s">
        <v>640</v>
      </c>
      <c r="D440" s="7" t="s">
        <v>729</v>
      </c>
      <c r="E440" s="8" t="s">
        <v>744</v>
      </c>
      <c r="F440" s="9">
        <v>13</v>
      </c>
      <c r="G440" s="10"/>
      <c r="H440" s="8" t="s">
        <v>20</v>
      </c>
      <c r="I440" s="8" t="s">
        <v>21</v>
      </c>
      <c r="J440" s="8" t="s">
        <v>641</v>
      </c>
      <c r="K440" s="8"/>
      <c r="L440" s="11">
        <v>7.3</v>
      </c>
      <c r="M440" s="11">
        <v>5.6</v>
      </c>
      <c r="N440" s="11">
        <v>7.3</v>
      </c>
      <c r="O440" s="11">
        <f>L440*4</f>
        <v>29.2</v>
      </c>
      <c r="P440" s="11">
        <f>M440*4</f>
        <v>22.4</v>
      </c>
      <c r="Q440" s="11">
        <f>N440*4</f>
        <v>29.2</v>
      </c>
      <c r="R440" s="12"/>
      <c r="S440" s="12"/>
    </row>
    <row r="441" spans="1:19" x14ac:dyDescent="0.25">
      <c r="A441" s="7">
        <v>442</v>
      </c>
      <c r="B441" s="8" t="s">
        <v>170</v>
      </c>
      <c r="C441" s="8" t="s">
        <v>651</v>
      </c>
      <c r="D441" s="7" t="s">
        <v>729</v>
      </c>
      <c r="E441" s="8" t="s">
        <v>744</v>
      </c>
      <c r="F441" s="9">
        <v>14</v>
      </c>
      <c r="G441" s="10"/>
      <c r="H441" s="8" t="s">
        <v>26</v>
      </c>
      <c r="I441" s="8" t="s">
        <v>27</v>
      </c>
      <c r="J441" s="8" t="s">
        <v>641</v>
      </c>
      <c r="K441" s="8"/>
      <c r="L441" s="11">
        <v>3.2</v>
      </c>
      <c r="M441" s="11">
        <v>0</v>
      </c>
      <c r="N441" s="11">
        <v>3.2</v>
      </c>
      <c r="O441" s="11">
        <f>L441*4</f>
        <v>12.8</v>
      </c>
      <c r="P441" s="11">
        <f>M441*4</f>
        <v>0</v>
      </c>
      <c r="Q441" s="11">
        <f>N441*4</f>
        <v>12.8</v>
      </c>
      <c r="R441" s="12"/>
      <c r="S441" s="12"/>
    </row>
    <row r="442" spans="1:19" x14ac:dyDescent="0.25">
      <c r="A442" s="7">
        <v>443</v>
      </c>
      <c r="B442" s="8" t="s">
        <v>170</v>
      </c>
      <c r="C442" s="8" t="s">
        <v>642</v>
      </c>
      <c r="D442" s="7" t="s">
        <v>729</v>
      </c>
      <c r="E442" s="8" t="s">
        <v>744</v>
      </c>
      <c r="F442" s="9">
        <v>13</v>
      </c>
      <c r="G442" s="10"/>
      <c r="H442" s="8" t="s">
        <v>26</v>
      </c>
      <c r="I442" s="8" t="s">
        <v>27</v>
      </c>
      <c r="J442" s="8" t="s">
        <v>641</v>
      </c>
      <c r="K442" s="8"/>
      <c r="L442" s="11">
        <v>5.5</v>
      </c>
      <c r="M442" s="11">
        <v>4.5999999999999996</v>
      </c>
      <c r="N442" s="11">
        <v>5.5</v>
      </c>
      <c r="O442" s="11">
        <f>L442*4</f>
        <v>22</v>
      </c>
      <c r="P442" s="11">
        <f>M442*4</f>
        <v>18.399999999999999</v>
      </c>
      <c r="Q442" s="11">
        <f>N442*4</f>
        <v>22</v>
      </c>
      <c r="R442" s="12"/>
      <c r="S442" s="12"/>
    </row>
    <row r="443" spans="1:19" x14ac:dyDescent="0.25">
      <c r="A443" s="7">
        <v>444</v>
      </c>
      <c r="B443" s="8" t="s">
        <v>170</v>
      </c>
      <c r="C443" s="8" t="s">
        <v>652</v>
      </c>
      <c r="D443" s="7" t="s">
        <v>729</v>
      </c>
      <c r="E443" s="8" t="s">
        <v>744</v>
      </c>
      <c r="F443" s="9">
        <v>14</v>
      </c>
      <c r="G443" s="10"/>
      <c r="H443" s="8" t="s">
        <v>26</v>
      </c>
      <c r="I443" s="8" t="s">
        <v>27</v>
      </c>
      <c r="J443" s="8" t="s">
        <v>641</v>
      </c>
      <c r="K443" s="8"/>
      <c r="L443" s="11">
        <v>3.8</v>
      </c>
      <c r="M443" s="11">
        <v>0</v>
      </c>
      <c r="N443" s="11">
        <v>3.8</v>
      </c>
      <c r="O443" s="11">
        <f>L443*4</f>
        <v>15.2</v>
      </c>
      <c r="P443" s="11">
        <f>M443*4</f>
        <v>0</v>
      </c>
      <c r="Q443" s="11">
        <f>N443*4</f>
        <v>15.2</v>
      </c>
      <c r="R443" s="12"/>
      <c r="S443" s="12"/>
    </row>
    <row r="444" spans="1:19" x14ac:dyDescent="0.25">
      <c r="A444" s="7">
        <v>445</v>
      </c>
      <c r="B444" s="8" t="s">
        <v>170</v>
      </c>
      <c r="C444" s="8" t="s">
        <v>653</v>
      </c>
      <c r="D444" s="7" t="s">
        <v>729</v>
      </c>
      <c r="E444" s="8" t="s">
        <v>744</v>
      </c>
      <c r="F444" s="9">
        <v>14</v>
      </c>
      <c r="G444" s="10"/>
      <c r="H444" s="8" t="s">
        <v>20</v>
      </c>
      <c r="I444" s="8" t="s">
        <v>21</v>
      </c>
      <c r="J444" s="8" t="s">
        <v>641</v>
      </c>
      <c r="K444" s="8"/>
      <c r="L444" s="11">
        <v>4.4000000000000004</v>
      </c>
      <c r="M444" s="11">
        <v>4.5999999999999996</v>
      </c>
      <c r="N444" s="11">
        <v>4.4000000000000004</v>
      </c>
      <c r="O444" s="11">
        <f>L444*4</f>
        <v>17.600000000000001</v>
      </c>
      <c r="P444" s="11">
        <f>M444*4</f>
        <v>18.399999999999999</v>
      </c>
      <c r="Q444" s="11">
        <f>N444*4</f>
        <v>17.600000000000001</v>
      </c>
      <c r="R444" s="12"/>
      <c r="S444" s="12"/>
    </row>
    <row r="445" spans="1:19" x14ac:dyDescent="0.25">
      <c r="A445" s="7">
        <v>446</v>
      </c>
      <c r="B445" s="8" t="s">
        <v>170</v>
      </c>
      <c r="C445" s="8" t="s">
        <v>654</v>
      </c>
      <c r="D445" s="7" t="s">
        <v>729</v>
      </c>
      <c r="E445" s="8" t="s">
        <v>744</v>
      </c>
      <c r="F445" s="9">
        <v>14</v>
      </c>
      <c r="G445" s="10"/>
      <c r="H445" s="8" t="s">
        <v>20</v>
      </c>
      <c r="I445" s="8" t="s">
        <v>21</v>
      </c>
      <c r="J445" s="8" t="s">
        <v>641</v>
      </c>
      <c r="K445" s="8"/>
      <c r="L445" s="11">
        <v>3.6</v>
      </c>
      <c r="M445" s="11">
        <v>3.3</v>
      </c>
      <c r="N445" s="11">
        <v>3.6</v>
      </c>
      <c r="O445" s="11">
        <f>L445*4</f>
        <v>14.4</v>
      </c>
      <c r="P445" s="11">
        <f>M445*4</f>
        <v>13.2</v>
      </c>
      <c r="Q445" s="11">
        <f>N445*4</f>
        <v>14.4</v>
      </c>
      <c r="R445" s="12"/>
      <c r="S445" s="12"/>
    </row>
    <row r="446" spans="1:19" x14ac:dyDescent="0.25">
      <c r="A446" s="7">
        <v>447</v>
      </c>
      <c r="B446" s="8" t="s">
        <v>170</v>
      </c>
      <c r="C446" s="8" t="s">
        <v>643</v>
      </c>
      <c r="D446" s="7" t="s">
        <v>729</v>
      </c>
      <c r="E446" s="8" t="s">
        <v>744</v>
      </c>
      <c r="F446" s="9">
        <v>13</v>
      </c>
      <c r="G446" s="10"/>
      <c r="H446" s="8" t="s">
        <v>20</v>
      </c>
      <c r="I446" s="8" t="s">
        <v>21</v>
      </c>
      <c r="J446" s="8" t="s">
        <v>641</v>
      </c>
      <c r="K446" s="8"/>
      <c r="L446" s="11">
        <v>4.3</v>
      </c>
      <c r="M446" s="11">
        <v>4.5</v>
      </c>
      <c r="N446" s="11">
        <v>4.3</v>
      </c>
      <c r="O446" s="11">
        <f>L446*4</f>
        <v>17.2</v>
      </c>
      <c r="P446" s="11">
        <f>M446*4</f>
        <v>18</v>
      </c>
      <c r="Q446" s="11">
        <f>N446*4</f>
        <v>17.2</v>
      </c>
      <c r="R446" s="12"/>
      <c r="S446" s="12"/>
    </row>
    <row r="447" spans="1:19" x14ac:dyDescent="0.25">
      <c r="A447" s="7">
        <v>448</v>
      </c>
      <c r="B447" s="8" t="s">
        <v>170</v>
      </c>
      <c r="C447" s="8" t="s">
        <v>655</v>
      </c>
      <c r="D447" s="7" t="s">
        <v>729</v>
      </c>
      <c r="E447" s="8" t="s">
        <v>744</v>
      </c>
      <c r="F447" s="9">
        <v>14</v>
      </c>
      <c r="G447" s="10"/>
      <c r="H447" s="8" t="s">
        <v>26</v>
      </c>
      <c r="I447" s="8" t="s">
        <v>27</v>
      </c>
      <c r="J447" s="8" t="s">
        <v>641</v>
      </c>
      <c r="K447" s="8"/>
      <c r="L447" s="11">
        <v>3.5</v>
      </c>
      <c r="M447" s="11">
        <v>0</v>
      </c>
      <c r="N447" s="11">
        <v>3.5</v>
      </c>
      <c r="O447" s="11">
        <f>L447*4</f>
        <v>14</v>
      </c>
      <c r="P447" s="11">
        <f>M447*4</f>
        <v>0</v>
      </c>
      <c r="Q447" s="11">
        <f>N447*4</f>
        <v>14</v>
      </c>
      <c r="R447" s="12"/>
      <c r="S447" s="12"/>
    </row>
    <row r="448" spans="1:19" x14ac:dyDescent="0.25">
      <c r="A448" s="7">
        <v>449</v>
      </c>
      <c r="B448" s="8" t="s">
        <v>170</v>
      </c>
      <c r="C448" s="8" t="s">
        <v>656</v>
      </c>
      <c r="D448" s="7" t="s">
        <v>729</v>
      </c>
      <c r="E448" s="8" t="s">
        <v>744</v>
      </c>
      <c r="F448" s="9">
        <v>14</v>
      </c>
      <c r="G448" s="10"/>
      <c r="H448" s="8" t="s">
        <v>60</v>
      </c>
      <c r="I448" s="8" t="s">
        <v>61</v>
      </c>
      <c r="J448" s="8" t="s">
        <v>641</v>
      </c>
      <c r="K448" s="8"/>
      <c r="L448" s="11">
        <v>4</v>
      </c>
      <c r="M448" s="11">
        <v>0</v>
      </c>
      <c r="N448" s="11">
        <v>4</v>
      </c>
      <c r="O448" s="11">
        <f>L448*4</f>
        <v>16</v>
      </c>
      <c r="P448" s="11">
        <f>M448*4</f>
        <v>0</v>
      </c>
      <c r="Q448" s="11">
        <f>N448*4</f>
        <v>16</v>
      </c>
      <c r="R448" s="12"/>
      <c r="S448" s="12"/>
    </row>
    <row r="449" spans="1:19" x14ac:dyDescent="0.25">
      <c r="A449" s="7">
        <v>450</v>
      </c>
      <c r="B449" s="8" t="s">
        <v>170</v>
      </c>
      <c r="C449" s="8" t="s">
        <v>657</v>
      </c>
      <c r="D449" s="7" t="s">
        <v>729</v>
      </c>
      <c r="E449" s="8" t="s">
        <v>744</v>
      </c>
      <c r="F449" s="9">
        <v>14</v>
      </c>
      <c r="G449" s="10"/>
      <c r="H449" s="8" t="s">
        <v>26</v>
      </c>
      <c r="I449" s="8" t="s">
        <v>27</v>
      </c>
      <c r="J449" s="8" t="s">
        <v>641</v>
      </c>
      <c r="K449" s="8"/>
      <c r="L449" s="11">
        <v>4.7</v>
      </c>
      <c r="M449" s="11">
        <v>0</v>
      </c>
      <c r="N449" s="11">
        <v>4.7</v>
      </c>
      <c r="O449" s="11">
        <f>L449*4</f>
        <v>18.8</v>
      </c>
      <c r="P449" s="11">
        <f>M449*4</f>
        <v>0</v>
      </c>
      <c r="Q449" s="11">
        <f>N449*4</f>
        <v>18.8</v>
      </c>
      <c r="R449" s="12"/>
      <c r="S449" s="12"/>
    </row>
    <row r="450" spans="1:19" x14ac:dyDescent="0.25">
      <c r="A450" s="7">
        <v>451</v>
      </c>
      <c r="B450" s="8" t="s">
        <v>170</v>
      </c>
      <c r="C450" s="8" t="s">
        <v>658</v>
      </c>
      <c r="D450" s="7" t="s">
        <v>729</v>
      </c>
      <c r="E450" s="8" t="s">
        <v>744</v>
      </c>
      <c r="F450" s="9">
        <v>14</v>
      </c>
      <c r="G450" s="10"/>
      <c r="H450" s="8" t="s">
        <v>20</v>
      </c>
      <c r="I450" s="8" t="s">
        <v>21</v>
      </c>
      <c r="J450" s="8" t="s">
        <v>641</v>
      </c>
      <c r="K450" s="8"/>
      <c r="L450" s="11">
        <v>4.2</v>
      </c>
      <c r="M450" s="11">
        <v>4.3</v>
      </c>
      <c r="N450" s="11">
        <v>4.2</v>
      </c>
      <c r="O450" s="11">
        <f>L450*4</f>
        <v>16.8</v>
      </c>
      <c r="P450" s="11">
        <f>M450*4</f>
        <v>17.2</v>
      </c>
      <c r="Q450" s="11">
        <f>N450*4</f>
        <v>16.8</v>
      </c>
      <c r="R450" s="12"/>
      <c r="S450" s="12"/>
    </row>
    <row r="451" spans="1:19" x14ac:dyDescent="0.25">
      <c r="A451" s="7">
        <v>452</v>
      </c>
      <c r="B451" s="8" t="s">
        <v>170</v>
      </c>
      <c r="C451" s="8" t="s">
        <v>659</v>
      </c>
      <c r="D451" s="7" t="s">
        <v>729</v>
      </c>
      <c r="E451" s="8" t="s">
        <v>744</v>
      </c>
      <c r="F451" s="9">
        <v>14</v>
      </c>
      <c r="G451" s="10"/>
      <c r="H451" s="8" t="s">
        <v>20</v>
      </c>
      <c r="I451" s="8" t="s">
        <v>21</v>
      </c>
      <c r="J451" s="8"/>
      <c r="K451" s="8"/>
      <c r="L451" s="11">
        <v>4.4000000000000004</v>
      </c>
      <c r="M451" s="11">
        <v>2.5</v>
      </c>
      <c r="N451" s="11">
        <v>4.4000000000000004</v>
      </c>
      <c r="O451" s="11">
        <f>L451*4</f>
        <v>17.600000000000001</v>
      </c>
      <c r="P451" s="11">
        <f>M451*4</f>
        <v>10</v>
      </c>
      <c r="Q451" s="11">
        <f>N451*4</f>
        <v>17.600000000000001</v>
      </c>
      <c r="R451" s="12"/>
      <c r="S451" s="12"/>
    </row>
    <row r="452" spans="1:19" x14ac:dyDescent="0.25">
      <c r="A452" s="7">
        <v>453</v>
      </c>
      <c r="B452" s="8" t="s">
        <v>170</v>
      </c>
      <c r="C452" s="8" t="s">
        <v>660</v>
      </c>
      <c r="D452" s="7" t="s">
        <v>729</v>
      </c>
      <c r="E452" s="8" t="s">
        <v>744</v>
      </c>
      <c r="F452" s="9">
        <v>14</v>
      </c>
      <c r="G452" s="10"/>
      <c r="H452" s="8" t="s">
        <v>20</v>
      </c>
      <c r="I452" s="8" t="s">
        <v>21</v>
      </c>
      <c r="J452" s="8"/>
      <c r="K452" s="8"/>
      <c r="L452" s="11">
        <v>3.4</v>
      </c>
      <c r="M452" s="11">
        <v>1.8</v>
      </c>
      <c r="N452" s="11">
        <v>3.4</v>
      </c>
      <c r="O452" s="11">
        <f>L452*4</f>
        <v>13.6</v>
      </c>
      <c r="P452" s="11">
        <f>M452*4</f>
        <v>7.2</v>
      </c>
      <c r="Q452" s="11">
        <f>N452*4</f>
        <v>13.6</v>
      </c>
      <c r="R452" s="12"/>
      <c r="S452" s="12"/>
    </row>
    <row r="453" spans="1:19" x14ac:dyDescent="0.25">
      <c r="A453" s="7">
        <v>454</v>
      </c>
      <c r="B453" s="8" t="s">
        <v>170</v>
      </c>
      <c r="C453" s="8" t="s">
        <v>661</v>
      </c>
      <c r="D453" s="7" t="s">
        <v>729</v>
      </c>
      <c r="E453" s="8" t="s">
        <v>744</v>
      </c>
      <c r="F453" s="9">
        <v>14</v>
      </c>
      <c r="G453" s="10"/>
      <c r="H453" s="8" t="s">
        <v>92</v>
      </c>
      <c r="I453" s="8" t="s">
        <v>61</v>
      </c>
      <c r="J453" s="8"/>
      <c r="K453" s="8"/>
      <c r="L453" s="11">
        <v>3.2</v>
      </c>
      <c r="M453" s="11">
        <v>1.7</v>
      </c>
      <c r="N453" s="11">
        <v>3.2</v>
      </c>
      <c r="O453" s="11">
        <f>L453*4</f>
        <v>12.8</v>
      </c>
      <c r="P453" s="11">
        <f>M453*4</f>
        <v>6.8</v>
      </c>
      <c r="Q453" s="11">
        <f>N453*4</f>
        <v>12.8</v>
      </c>
      <c r="R453" s="12"/>
      <c r="S453" s="12"/>
    </row>
    <row r="454" spans="1:19" x14ac:dyDescent="0.25">
      <c r="A454" s="7">
        <v>455</v>
      </c>
      <c r="B454" s="8" t="s">
        <v>170</v>
      </c>
      <c r="C454" s="8" t="s">
        <v>662</v>
      </c>
      <c r="D454" s="7" t="s">
        <v>729</v>
      </c>
      <c r="E454" s="8" t="s">
        <v>744</v>
      </c>
      <c r="F454" s="9">
        <v>14</v>
      </c>
      <c r="G454" s="10"/>
      <c r="H454" s="8" t="s">
        <v>26</v>
      </c>
      <c r="I454" s="8" t="s">
        <v>27</v>
      </c>
      <c r="J454" s="8"/>
      <c r="K454" s="8"/>
      <c r="L454" s="11">
        <v>4.2</v>
      </c>
      <c r="M454" s="11">
        <v>2.2999999999999998</v>
      </c>
      <c r="N454" s="11">
        <v>4.2</v>
      </c>
      <c r="O454" s="11">
        <f>L454*4</f>
        <v>16.8</v>
      </c>
      <c r="P454" s="11">
        <f>M454*4</f>
        <v>9.1999999999999993</v>
      </c>
      <c r="Q454" s="11">
        <f>N454*4</f>
        <v>16.8</v>
      </c>
      <c r="R454" s="12"/>
      <c r="S454" s="12"/>
    </row>
    <row r="455" spans="1:19" x14ac:dyDescent="0.25">
      <c r="A455" s="7">
        <v>456</v>
      </c>
      <c r="B455" s="8" t="s">
        <v>170</v>
      </c>
      <c r="C455" s="8" t="s">
        <v>663</v>
      </c>
      <c r="D455" s="7" t="s">
        <v>729</v>
      </c>
      <c r="E455" s="8" t="s">
        <v>744</v>
      </c>
      <c r="F455" s="9">
        <v>14</v>
      </c>
      <c r="G455" s="10"/>
      <c r="H455" s="8" t="s">
        <v>26</v>
      </c>
      <c r="I455" s="8" t="s">
        <v>27</v>
      </c>
      <c r="J455" s="8"/>
      <c r="K455" s="8"/>
      <c r="L455" s="11">
        <v>5.0999999999999996</v>
      </c>
      <c r="M455" s="11">
        <v>2.1</v>
      </c>
      <c r="N455" s="11">
        <v>5.0999999999999996</v>
      </c>
      <c r="O455" s="11">
        <f>L455*4</f>
        <v>20.399999999999999</v>
      </c>
      <c r="P455" s="11">
        <f>M455*4</f>
        <v>8.4</v>
      </c>
      <c r="Q455" s="11">
        <f>N455*4</f>
        <v>20.399999999999999</v>
      </c>
      <c r="R455" s="12"/>
      <c r="S455" s="12"/>
    </row>
    <row r="456" spans="1:19" x14ac:dyDescent="0.25">
      <c r="A456" s="7">
        <v>457</v>
      </c>
      <c r="B456" s="8" t="s">
        <v>170</v>
      </c>
      <c r="C456" s="8" t="s">
        <v>664</v>
      </c>
      <c r="D456" s="7" t="s">
        <v>729</v>
      </c>
      <c r="E456" s="8" t="s">
        <v>744</v>
      </c>
      <c r="F456" s="9">
        <v>14</v>
      </c>
      <c r="G456" s="10"/>
      <c r="H456" s="8" t="s">
        <v>20</v>
      </c>
      <c r="I456" s="8" t="s">
        <v>21</v>
      </c>
      <c r="J456" s="8"/>
      <c r="K456" s="8"/>
      <c r="L456" s="11">
        <v>4.0999999999999996</v>
      </c>
      <c r="M456" s="11">
        <v>2</v>
      </c>
      <c r="N456" s="11">
        <v>4.0999999999999996</v>
      </c>
      <c r="O456" s="11">
        <f>L456*4</f>
        <v>16.399999999999999</v>
      </c>
      <c r="P456" s="11">
        <f>M456*4</f>
        <v>8</v>
      </c>
      <c r="Q456" s="11">
        <f>N456*4</f>
        <v>16.399999999999999</v>
      </c>
      <c r="R456" s="12"/>
      <c r="S456" s="12"/>
    </row>
    <row r="457" spans="1:19" x14ac:dyDescent="0.25">
      <c r="A457" s="7">
        <v>458</v>
      </c>
      <c r="B457" s="8" t="s">
        <v>170</v>
      </c>
      <c r="C457" s="8" t="s">
        <v>665</v>
      </c>
      <c r="D457" s="7" t="s">
        <v>729</v>
      </c>
      <c r="E457" s="8" t="s">
        <v>744</v>
      </c>
      <c r="F457" s="9">
        <v>14</v>
      </c>
      <c r="G457" s="10"/>
      <c r="H457" s="8" t="s">
        <v>20</v>
      </c>
      <c r="I457" s="8" t="s">
        <v>21</v>
      </c>
      <c r="J457" s="8"/>
      <c r="K457" s="8"/>
      <c r="L457" s="11">
        <v>4.7</v>
      </c>
      <c r="M457" s="11">
        <v>1.8</v>
      </c>
      <c r="N457" s="11">
        <v>4.7</v>
      </c>
      <c r="O457" s="11">
        <f>L457*4</f>
        <v>18.8</v>
      </c>
      <c r="P457" s="11">
        <f>M457*4</f>
        <v>7.2</v>
      </c>
      <c r="Q457" s="11">
        <f>N457*4</f>
        <v>18.8</v>
      </c>
      <c r="R457" s="12"/>
      <c r="S457" s="12"/>
    </row>
    <row r="458" spans="1:19" x14ac:dyDescent="0.25">
      <c r="A458" s="7">
        <v>459</v>
      </c>
      <c r="B458" s="8" t="s">
        <v>170</v>
      </c>
      <c r="C458" s="8" t="s">
        <v>666</v>
      </c>
      <c r="D458" s="7" t="s">
        <v>729</v>
      </c>
      <c r="E458" s="8" t="s">
        <v>744</v>
      </c>
      <c r="F458" s="9">
        <v>14</v>
      </c>
      <c r="G458" s="10"/>
      <c r="H458" s="8" t="s">
        <v>20</v>
      </c>
      <c r="I458" s="8" t="s">
        <v>21</v>
      </c>
      <c r="J458" s="8"/>
      <c r="K458" s="8"/>
      <c r="L458" s="11">
        <v>4</v>
      </c>
      <c r="M458" s="11">
        <v>1.4</v>
      </c>
      <c r="N458" s="11">
        <v>4</v>
      </c>
      <c r="O458" s="11">
        <f>L458*4</f>
        <v>16</v>
      </c>
      <c r="P458" s="11">
        <f>M458*4</f>
        <v>5.6</v>
      </c>
      <c r="Q458" s="11">
        <f>N458*4</f>
        <v>16</v>
      </c>
      <c r="R458" s="12"/>
      <c r="S458" s="12"/>
    </row>
    <row r="459" spans="1:19" x14ac:dyDescent="0.25">
      <c r="A459" s="7">
        <v>460</v>
      </c>
      <c r="B459" s="8" t="s">
        <v>170</v>
      </c>
      <c r="C459" s="8" t="s">
        <v>667</v>
      </c>
      <c r="D459" s="7" t="s">
        <v>729</v>
      </c>
      <c r="E459" s="8" t="s">
        <v>744</v>
      </c>
      <c r="F459" s="9">
        <v>14</v>
      </c>
      <c r="G459" s="10"/>
      <c r="H459" s="8" t="s">
        <v>20</v>
      </c>
      <c r="I459" s="8" t="s">
        <v>21</v>
      </c>
      <c r="J459" s="8"/>
      <c r="K459" s="8"/>
      <c r="L459" s="11">
        <v>4.9000000000000004</v>
      </c>
      <c r="M459" s="11">
        <v>2</v>
      </c>
      <c r="N459" s="11">
        <v>4.9000000000000004</v>
      </c>
      <c r="O459" s="11">
        <f>L459*4</f>
        <v>19.600000000000001</v>
      </c>
      <c r="P459" s="11">
        <f>M459*4</f>
        <v>8</v>
      </c>
      <c r="Q459" s="11">
        <f>N459*4</f>
        <v>19.600000000000001</v>
      </c>
      <c r="R459" s="12"/>
      <c r="S459" s="12"/>
    </row>
    <row r="460" spans="1:19" x14ac:dyDescent="0.25">
      <c r="A460" s="7">
        <v>461</v>
      </c>
      <c r="B460" s="8" t="s">
        <v>170</v>
      </c>
      <c r="C460" s="8" t="s">
        <v>668</v>
      </c>
      <c r="D460" s="7" t="s">
        <v>729</v>
      </c>
      <c r="E460" s="8" t="s">
        <v>744</v>
      </c>
      <c r="F460" s="9">
        <v>14</v>
      </c>
      <c r="G460" s="10"/>
      <c r="H460" s="8" t="s">
        <v>100</v>
      </c>
      <c r="I460" s="8" t="s">
        <v>21</v>
      </c>
      <c r="J460" s="8"/>
      <c r="K460" s="8"/>
      <c r="L460" s="11">
        <v>4.4000000000000004</v>
      </c>
      <c r="M460" s="11">
        <v>2</v>
      </c>
      <c r="N460" s="11">
        <v>4.4000000000000004</v>
      </c>
      <c r="O460" s="11">
        <f>L460*4</f>
        <v>17.600000000000001</v>
      </c>
      <c r="P460" s="11">
        <f>M460*4</f>
        <v>8</v>
      </c>
      <c r="Q460" s="11">
        <f>N460*4</f>
        <v>17.600000000000001</v>
      </c>
      <c r="R460" s="12"/>
      <c r="S460" s="12"/>
    </row>
    <row r="461" spans="1:19" x14ac:dyDescent="0.25">
      <c r="A461" s="7">
        <v>462</v>
      </c>
      <c r="B461" s="8" t="s">
        <v>170</v>
      </c>
      <c r="C461" s="8" t="s">
        <v>669</v>
      </c>
      <c r="D461" s="7" t="s">
        <v>729</v>
      </c>
      <c r="E461" s="8" t="s">
        <v>744</v>
      </c>
      <c r="F461" s="9">
        <v>14</v>
      </c>
      <c r="G461" s="10"/>
      <c r="H461" s="8" t="s">
        <v>54</v>
      </c>
      <c r="I461" s="8" t="s">
        <v>55</v>
      </c>
      <c r="J461" s="8"/>
      <c r="K461" s="8"/>
      <c r="L461" s="11">
        <v>3.4</v>
      </c>
      <c r="M461" s="11">
        <v>1.1000000000000001</v>
      </c>
      <c r="N461" s="11">
        <v>3.4</v>
      </c>
      <c r="O461" s="11">
        <f>L461*4</f>
        <v>13.6</v>
      </c>
      <c r="P461" s="11">
        <f>M461*4</f>
        <v>4.4000000000000004</v>
      </c>
      <c r="Q461" s="11">
        <f>N461*4</f>
        <v>13.6</v>
      </c>
      <c r="R461" s="12"/>
      <c r="S461" s="12"/>
    </row>
    <row r="462" spans="1:19" x14ac:dyDescent="0.25">
      <c r="A462" s="7">
        <v>463</v>
      </c>
      <c r="B462" s="8" t="s">
        <v>170</v>
      </c>
      <c r="C462" s="8" t="s">
        <v>670</v>
      </c>
      <c r="D462" s="7" t="s">
        <v>729</v>
      </c>
      <c r="E462" s="8" t="s">
        <v>744</v>
      </c>
      <c r="F462" s="9">
        <v>14</v>
      </c>
      <c r="G462" s="10"/>
      <c r="H462" s="8" t="s">
        <v>26</v>
      </c>
      <c r="I462" s="8" t="s">
        <v>27</v>
      </c>
      <c r="J462" s="8"/>
      <c r="K462" s="8"/>
      <c r="L462" s="11">
        <v>3.2</v>
      </c>
      <c r="M462" s="11">
        <v>1.9</v>
      </c>
      <c r="N462" s="11">
        <v>3.2</v>
      </c>
      <c r="O462" s="11">
        <f>L462*4</f>
        <v>12.8</v>
      </c>
      <c r="P462" s="11">
        <f>M462*4</f>
        <v>7.6</v>
      </c>
      <c r="Q462" s="11">
        <f>N462*4</f>
        <v>12.8</v>
      </c>
      <c r="R462" s="12"/>
      <c r="S462" s="12"/>
    </row>
    <row r="463" spans="1:19" x14ac:dyDescent="0.25">
      <c r="A463" s="7">
        <v>464</v>
      </c>
      <c r="B463" s="8" t="s">
        <v>170</v>
      </c>
      <c r="C463" s="8" t="s">
        <v>671</v>
      </c>
      <c r="D463" s="7" t="s">
        <v>729</v>
      </c>
      <c r="E463" s="8" t="s">
        <v>744</v>
      </c>
      <c r="F463" s="9">
        <v>14</v>
      </c>
      <c r="G463" s="10"/>
      <c r="H463" s="8" t="s">
        <v>26</v>
      </c>
      <c r="I463" s="8" t="s">
        <v>27</v>
      </c>
      <c r="J463" s="8"/>
      <c r="K463" s="8"/>
      <c r="L463" s="11">
        <v>3</v>
      </c>
      <c r="M463" s="11">
        <v>1.4</v>
      </c>
      <c r="N463" s="11">
        <v>3</v>
      </c>
      <c r="O463" s="11">
        <f>L463*4</f>
        <v>12</v>
      </c>
      <c r="P463" s="11">
        <f>M463*4</f>
        <v>5.6</v>
      </c>
      <c r="Q463" s="11">
        <f>N463*4</f>
        <v>12</v>
      </c>
      <c r="R463" s="12"/>
      <c r="S463" s="12"/>
    </row>
    <row r="464" spans="1:19" x14ac:dyDescent="0.25">
      <c r="A464" s="7">
        <v>465</v>
      </c>
      <c r="B464" s="8" t="s">
        <v>170</v>
      </c>
      <c r="C464" s="8" t="s">
        <v>672</v>
      </c>
      <c r="D464" s="7" t="s">
        <v>729</v>
      </c>
      <c r="E464" s="8" t="s">
        <v>744</v>
      </c>
      <c r="F464" s="9">
        <v>14</v>
      </c>
      <c r="G464" s="10"/>
      <c r="H464" s="8" t="s">
        <v>20</v>
      </c>
      <c r="I464" s="8" t="s">
        <v>21</v>
      </c>
      <c r="J464" s="8"/>
      <c r="K464" s="8"/>
      <c r="L464" s="11">
        <v>3.6</v>
      </c>
      <c r="M464" s="11">
        <v>1.5</v>
      </c>
      <c r="N464" s="11">
        <v>3.6</v>
      </c>
      <c r="O464" s="11">
        <f>L464*4</f>
        <v>14.4</v>
      </c>
      <c r="P464" s="11">
        <f>M464*4</f>
        <v>6</v>
      </c>
      <c r="Q464" s="11">
        <f>N464*4</f>
        <v>14.4</v>
      </c>
      <c r="R464" s="12"/>
      <c r="S464" s="12"/>
    </row>
    <row r="465" spans="1:19" x14ac:dyDescent="0.25">
      <c r="A465" s="7">
        <v>466</v>
      </c>
      <c r="B465" s="8" t="s">
        <v>170</v>
      </c>
      <c r="C465" s="8" t="s">
        <v>673</v>
      </c>
      <c r="D465" s="7" t="s">
        <v>729</v>
      </c>
      <c r="E465" s="8" t="s">
        <v>744</v>
      </c>
      <c r="F465" s="9">
        <v>14</v>
      </c>
      <c r="G465" s="10"/>
      <c r="H465" s="8" t="s">
        <v>20</v>
      </c>
      <c r="I465" s="8" t="s">
        <v>21</v>
      </c>
      <c r="J465" s="8"/>
      <c r="K465" s="8"/>
      <c r="L465" s="11">
        <v>3.5</v>
      </c>
      <c r="M465" s="11">
        <v>1.4</v>
      </c>
      <c r="N465" s="11">
        <v>3.5</v>
      </c>
      <c r="O465" s="11">
        <f>L465*4</f>
        <v>14</v>
      </c>
      <c r="P465" s="11">
        <f>M465*4</f>
        <v>5.6</v>
      </c>
      <c r="Q465" s="11">
        <f>N465*4</f>
        <v>14</v>
      </c>
      <c r="R465" s="12"/>
      <c r="S465" s="12"/>
    </row>
    <row r="466" spans="1:19" x14ac:dyDescent="0.25">
      <c r="A466" s="7">
        <v>467</v>
      </c>
      <c r="B466" s="8" t="s">
        <v>170</v>
      </c>
      <c r="C466" s="8" t="s">
        <v>674</v>
      </c>
      <c r="D466" s="7" t="s">
        <v>729</v>
      </c>
      <c r="E466" s="8" t="s">
        <v>744</v>
      </c>
      <c r="F466" s="9">
        <v>14</v>
      </c>
      <c r="G466" s="10"/>
      <c r="H466" s="8" t="s">
        <v>26</v>
      </c>
      <c r="I466" s="8" t="s">
        <v>27</v>
      </c>
      <c r="J466" s="8"/>
      <c r="K466" s="8"/>
      <c r="L466" s="11">
        <v>4.3</v>
      </c>
      <c r="M466" s="11">
        <v>1.6</v>
      </c>
      <c r="N466" s="11">
        <v>4.3</v>
      </c>
      <c r="O466" s="11">
        <f>L466*4</f>
        <v>17.2</v>
      </c>
      <c r="P466" s="11">
        <f>M466*4</f>
        <v>6.4</v>
      </c>
      <c r="Q466" s="11">
        <f>N466*4</f>
        <v>17.2</v>
      </c>
      <c r="R466" s="12"/>
      <c r="S466" s="12"/>
    </row>
    <row r="467" spans="1:19" x14ac:dyDescent="0.25">
      <c r="A467" s="7">
        <v>468</v>
      </c>
      <c r="B467" s="8" t="s">
        <v>170</v>
      </c>
      <c r="C467" s="8" t="s">
        <v>675</v>
      </c>
      <c r="D467" s="7" t="s">
        <v>729</v>
      </c>
      <c r="E467" s="8" t="s">
        <v>744</v>
      </c>
      <c r="F467" s="9">
        <v>14</v>
      </c>
      <c r="G467" s="10"/>
      <c r="H467" s="8" t="s">
        <v>20</v>
      </c>
      <c r="I467" s="8" t="s">
        <v>21</v>
      </c>
      <c r="J467" s="8"/>
      <c r="K467" s="8"/>
      <c r="L467" s="11">
        <v>4.8</v>
      </c>
      <c r="M467" s="11">
        <v>2.1</v>
      </c>
      <c r="N467" s="11">
        <v>4.8</v>
      </c>
      <c r="O467" s="11">
        <f>L467*4</f>
        <v>19.2</v>
      </c>
      <c r="P467" s="11">
        <f>M467*4</f>
        <v>8.4</v>
      </c>
      <c r="Q467" s="11">
        <f>N467*4</f>
        <v>19.2</v>
      </c>
      <c r="R467" s="12"/>
      <c r="S467" s="12"/>
    </row>
    <row r="468" spans="1:19" x14ac:dyDescent="0.25">
      <c r="A468" s="7">
        <v>469</v>
      </c>
      <c r="B468" s="8" t="s">
        <v>170</v>
      </c>
      <c r="C468" s="8" t="s">
        <v>676</v>
      </c>
      <c r="D468" s="7" t="s">
        <v>729</v>
      </c>
      <c r="E468" s="8" t="s">
        <v>744</v>
      </c>
      <c r="F468" s="9">
        <v>14</v>
      </c>
      <c r="G468" s="10"/>
      <c r="H468" s="8" t="s">
        <v>86</v>
      </c>
      <c r="I468" s="8" t="s">
        <v>86</v>
      </c>
      <c r="J468" s="8"/>
      <c r="K468" s="8"/>
      <c r="L468" s="11">
        <v>4.9000000000000004</v>
      </c>
      <c r="M468" s="11">
        <v>1.7</v>
      </c>
      <c r="N468" s="11">
        <v>4.9000000000000004</v>
      </c>
      <c r="O468" s="11">
        <f>L468*4</f>
        <v>19.600000000000001</v>
      </c>
      <c r="P468" s="11">
        <f>M468*4</f>
        <v>6.8</v>
      </c>
      <c r="Q468" s="11">
        <f>N468*4</f>
        <v>19.600000000000001</v>
      </c>
      <c r="R468" s="12"/>
      <c r="S468" s="12"/>
    </row>
    <row r="469" spans="1:19" x14ac:dyDescent="0.25">
      <c r="A469" s="7">
        <v>470</v>
      </c>
      <c r="B469" s="8" t="s">
        <v>170</v>
      </c>
      <c r="C469" s="8" t="s">
        <v>677</v>
      </c>
      <c r="D469" s="7" t="s">
        <v>729</v>
      </c>
      <c r="E469" s="8" t="s">
        <v>744</v>
      </c>
      <c r="F469" s="9">
        <v>14</v>
      </c>
      <c r="G469" s="10"/>
      <c r="H469" s="8" t="s">
        <v>20</v>
      </c>
      <c r="I469" s="8" t="s">
        <v>21</v>
      </c>
      <c r="J469" s="8"/>
      <c r="K469" s="8" t="s">
        <v>406</v>
      </c>
      <c r="L469" s="11">
        <v>4.0999999999999996</v>
      </c>
      <c r="M469" s="11">
        <v>2.2000000000000002</v>
      </c>
      <c r="N469" s="11">
        <v>4.0999999999999996</v>
      </c>
      <c r="O469" s="11">
        <f>L469*4</f>
        <v>16.399999999999999</v>
      </c>
      <c r="P469" s="11">
        <f>M469*4</f>
        <v>8.8000000000000007</v>
      </c>
      <c r="Q469" s="11">
        <f>N469*4</f>
        <v>16.399999999999999</v>
      </c>
      <c r="R469" s="12"/>
      <c r="S469" s="12"/>
    </row>
    <row r="470" spans="1:19" x14ac:dyDescent="0.25">
      <c r="A470" s="7">
        <v>471</v>
      </c>
      <c r="B470" s="8" t="s">
        <v>170</v>
      </c>
      <c r="C470" s="8" t="s">
        <v>678</v>
      </c>
      <c r="D470" s="7" t="s">
        <v>729</v>
      </c>
      <c r="E470" s="8" t="s">
        <v>744</v>
      </c>
      <c r="F470" s="9">
        <v>14</v>
      </c>
      <c r="G470" s="10"/>
      <c r="H470" s="8" t="s">
        <v>26</v>
      </c>
      <c r="I470" s="8" t="s">
        <v>27</v>
      </c>
      <c r="J470" s="8"/>
      <c r="K470" s="8" t="s">
        <v>406</v>
      </c>
      <c r="L470" s="11">
        <v>4.7</v>
      </c>
      <c r="M470" s="11">
        <v>2.5</v>
      </c>
      <c r="N470" s="11">
        <v>4.7</v>
      </c>
      <c r="O470" s="11">
        <f>L470*4</f>
        <v>18.8</v>
      </c>
      <c r="P470" s="11">
        <f>M470*4</f>
        <v>10</v>
      </c>
      <c r="Q470" s="11">
        <f>N470*4</f>
        <v>18.8</v>
      </c>
      <c r="R470" s="12"/>
      <c r="S470" s="12"/>
    </row>
    <row r="471" spans="1:19" x14ac:dyDescent="0.25">
      <c r="A471" s="7">
        <v>472</v>
      </c>
      <c r="B471" s="8" t="s">
        <v>263</v>
      </c>
      <c r="C471" s="8" t="s">
        <v>447</v>
      </c>
      <c r="D471" s="7" t="s">
        <v>730</v>
      </c>
      <c r="E471" s="8" t="s">
        <v>744</v>
      </c>
      <c r="F471" s="9">
        <v>5</v>
      </c>
      <c r="G471" s="10" t="s">
        <v>33</v>
      </c>
      <c r="H471" s="8" t="s">
        <v>154</v>
      </c>
      <c r="I471" s="8" t="s">
        <v>155</v>
      </c>
      <c r="J471" s="8"/>
      <c r="K471" s="8"/>
      <c r="L471" s="11">
        <v>6.8</v>
      </c>
      <c r="M471" s="11">
        <v>7.2</v>
      </c>
      <c r="N471" s="11">
        <v>7.3</v>
      </c>
      <c r="O471" s="11">
        <f>L471*4</f>
        <v>27.2</v>
      </c>
      <c r="P471" s="11">
        <f>M471*4</f>
        <v>28.8</v>
      </c>
      <c r="Q471" s="11">
        <f>N471*4</f>
        <v>29.2</v>
      </c>
      <c r="R471" s="12">
        <f>(4/3)*3.14*(Q471/2)^3</f>
        <v>13029.476053333332</v>
      </c>
      <c r="S471" s="12">
        <f>R471/1000</f>
        <v>13.029476053333331</v>
      </c>
    </row>
    <row r="472" spans="1:19" x14ac:dyDescent="0.25">
      <c r="A472" s="7">
        <v>473</v>
      </c>
      <c r="B472" s="8" t="s">
        <v>263</v>
      </c>
      <c r="C472" s="8" t="s">
        <v>448</v>
      </c>
      <c r="D472" s="7" t="s">
        <v>730</v>
      </c>
      <c r="E472" s="8" t="s">
        <v>744</v>
      </c>
      <c r="F472" s="9">
        <v>5</v>
      </c>
      <c r="G472" s="10" t="s">
        <v>33</v>
      </c>
      <c r="H472" s="8" t="s">
        <v>154</v>
      </c>
      <c r="I472" s="8" t="s">
        <v>155</v>
      </c>
      <c r="J472" s="8"/>
      <c r="K472" s="8"/>
      <c r="L472" s="11">
        <v>8.5</v>
      </c>
      <c r="M472" s="11">
        <v>9.1999999999999993</v>
      </c>
      <c r="N472" s="11">
        <v>9.3000000000000007</v>
      </c>
      <c r="O472" s="11">
        <f>L472*4</f>
        <v>34</v>
      </c>
      <c r="P472" s="11">
        <f>M472*4</f>
        <v>36.799999999999997</v>
      </c>
      <c r="Q472" s="11">
        <f>N472*4</f>
        <v>37.200000000000003</v>
      </c>
      <c r="R472" s="12">
        <f>(4/3)*3.14*(Q472/2)^3</f>
        <v>26940.597120000006</v>
      </c>
      <c r="S472" s="12">
        <f>R472/1000</f>
        <v>26.940597120000007</v>
      </c>
    </row>
    <row r="473" spans="1:19" x14ac:dyDescent="0.25">
      <c r="A473" s="7">
        <v>474</v>
      </c>
      <c r="B473" s="8" t="s">
        <v>263</v>
      </c>
      <c r="C473" s="8" t="s">
        <v>264</v>
      </c>
      <c r="D473" s="7" t="s">
        <v>730</v>
      </c>
      <c r="E473" s="8" t="s">
        <v>744</v>
      </c>
      <c r="F473" s="9">
        <v>4</v>
      </c>
      <c r="G473" s="10" t="s">
        <v>33</v>
      </c>
      <c r="H473" s="8" t="s">
        <v>26</v>
      </c>
      <c r="I473" s="8" t="s">
        <v>27</v>
      </c>
      <c r="J473" s="8"/>
      <c r="K473" s="8"/>
      <c r="L473" s="11">
        <v>11</v>
      </c>
      <c r="M473" s="11">
        <v>8.6</v>
      </c>
      <c r="N473" s="11">
        <v>11</v>
      </c>
      <c r="O473" s="11">
        <f>L473*4</f>
        <v>44</v>
      </c>
      <c r="P473" s="11">
        <f>M473*4</f>
        <v>34.4</v>
      </c>
      <c r="Q473" s="11">
        <f>N473*4</f>
        <v>44</v>
      </c>
      <c r="R473" s="12">
        <f>2/3*3.14*(Q473/2)^3</f>
        <v>22289.813333333332</v>
      </c>
      <c r="S473" s="12">
        <f>R473/1000</f>
        <v>22.289813333333331</v>
      </c>
    </row>
    <row r="474" spans="1:19" x14ac:dyDescent="0.25">
      <c r="A474" s="7">
        <v>475</v>
      </c>
      <c r="B474" s="8" t="s">
        <v>263</v>
      </c>
      <c r="C474" s="8" t="s">
        <v>265</v>
      </c>
      <c r="D474" s="7" t="s">
        <v>730</v>
      </c>
      <c r="E474" s="8" t="s">
        <v>744</v>
      </c>
      <c r="F474" s="9">
        <v>4</v>
      </c>
      <c r="G474" s="10" t="s">
        <v>33</v>
      </c>
      <c r="H474" s="8" t="s">
        <v>20</v>
      </c>
      <c r="I474" s="8" t="s">
        <v>21</v>
      </c>
      <c r="J474" s="8" t="s">
        <v>132</v>
      </c>
      <c r="K474" s="8"/>
      <c r="L474" s="11">
        <v>6.5</v>
      </c>
      <c r="M474" s="11">
        <v>4.8</v>
      </c>
      <c r="N474" s="11">
        <v>7.5</v>
      </c>
      <c r="O474" s="11">
        <f>L474*4</f>
        <v>26</v>
      </c>
      <c r="P474" s="11">
        <f>M474*4</f>
        <v>19.2</v>
      </c>
      <c r="Q474" s="11">
        <f>N474*4</f>
        <v>30</v>
      </c>
      <c r="R474" s="12">
        <f>2/3*3.14*(Q474/2)^3</f>
        <v>7065</v>
      </c>
      <c r="S474" s="12">
        <f>R474/1000</f>
        <v>7.0650000000000004</v>
      </c>
    </row>
    <row r="475" spans="1:19" x14ac:dyDescent="0.25">
      <c r="A475" s="7">
        <v>476</v>
      </c>
      <c r="B475" s="8" t="s">
        <v>263</v>
      </c>
      <c r="C475" s="8" t="s">
        <v>449</v>
      </c>
      <c r="D475" s="7" t="s">
        <v>730</v>
      </c>
      <c r="E475" s="8" t="s">
        <v>744</v>
      </c>
      <c r="F475" s="9">
        <v>5</v>
      </c>
      <c r="G475" s="10" t="s">
        <v>25</v>
      </c>
      <c r="H475" s="8" t="s">
        <v>26</v>
      </c>
      <c r="I475" s="8" t="s">
        <v>27</v>
      </c>
      <c r="J475" s="8"/>
      <c r="K475" s="8"/>
      <c r="L475" s="11">
        <v>4.2</v>
      </c>
      <c r="M475" s="11">
        <v>4.9000000000000004</v>
      </c>
      <c r="N475" s="11">
        <v>5.2</v>
      </c>
      <c r="O475" s="11">
        <f>L475*4</f>
        <v>16.8</v>
      </c>
      <c r="P475" s="11">
        <f>M475*4</f>
        <v>19.600000000000001</v>
      </c>
      <c r="Q475" s="11">
        <f>N475*4</f>
        <v>20.8</v>
      </c>
      <c r="R475" s="12">
        <f>(4/3)*3.14*(Q475/2)^3</f>
        <v>4709.4306133333339</v>
      </c>
      <c r="S475" s="12">
        <f>R475/1000</f>
        <v>4.7094306133333337</v>
      </c>
    </row>
    <row r="476" spans="1:19" x14ac:dyDescent="0.25">
      <c r="A476" s="7">
        <v>477</v>
      </c>
      <c r="B476" s="8" t="s">
        <v>263</v>
      </c>
      <c r="C476" s="8" t="s">
        <v>679</v>
      </c>
      <c r="D476" s="7" t="s">
        <v>730</v>
      </c>
      <c r="E476" s="8" t="s">
        <v>744</v>
      </c>
      <c r="F476" s="9">
        <v>14</v>
      </c>
      <c r="G476" s="10"/>
      <c r="H476" s="8" t="s">
        <v>26</v>
      </c>
      <c r="I476" s="8" t="s">
        <v>27</v>
      </c>
      <c r="J476" s="8" t="s">
        <v>641</v>
      </c>
      <c r="K476" s="8" t="s">
        <v>406</v>
      </c>
      <c r="L476" s="11">
        <v>4</v>
      </c>
      <c r="M476" s="11">
        <v>0</v>
      </c>
      <c r="N476" s="11">
        <v>4</v>
      </c>
      <c r="O476" s="11">
        <f>L476*4</f>
        <v>16</v>
      </c>
      <c r="P476" s="11">
        <f>M476*4</f>
        <v>0</v>
      </c>
      <c r="Q476" s="11">
        <f>N476*4</f>
        <v>16</v>
      </c>
      <c r="R476" s="12"/>
      <c r="S476" s="12"/>
    </row>
    <row r="477" spans="1:19" x14ac:dyDescent="0.25">
      <c r="A477" s="7">
        <v>478</v>
      </c>
      <c r="B477" s="8" t="s">
        <v>263</v>
      </c>
      <c r="C477" s="8" t="s">
        <v>680</v>
      </c>
      <c r="D477" s="7" t="s">
        <v>730</v>
      </c>
      <c r="E477" s="8" t="s">
        <v>744</v>
      </c>
      <c r="F477" s="9">
        <v>14</v>
      </c>
      <c r="G477" s="10"/>
      <c r="H477" s="8" t="s">
        <v>26</v>
      </c>
      <c r="I477" s="8" t="s">
        <v>27</v>
      </c>
      <c r="J477" s="8" t="s">
        <v>641</v>
      </c>
      <c r="K477" s="8" t="s">
        <v>406</v>
      </c>
      <c r="L477" s="11">
        <v>3.5</v>
      </c>
      <c r="M477" s="11">
        <v>0</v>
      </c>
      <c r="N477" s="11">
        <v>3.5</v>
      </c>
      <c r="O477" s="11">
        <f>L477*4</f>
        <v>14</v>
      </c>
      <c r="P477" s="11">
        <f>M477*4</f>
        <v>0</v>
      </c>
      <c r="Q477" s="11">
        <f>N477*4</f>
        <v>14</v>
      </c>
      <c r="R477" s="12"/>
      <c r="S477" s="12"/>
    </row>
    <row r="478" spans="1:19" x14ac:dyDescent="0.25">
      <c r="A478" s="7">
        <v>479</v>
      </c>
      <c r="B478" s="8" t="s">
        <v>263</v>
      </c>
      <c r="C478" s="8" t="s">
        <v>681</v>
      </c>
      <c r="D478" s="7" t="s">
        <v>730</v>
      </c>
      <c r="E478" s="8" t="s">
        <v>744</v>
      </c>
      <c r="F478" s="9">
        <v>14</v>
      </c>
      <c r="G478" s="10"/>
      <c r="H478" s="8" t="s">
        <v>26</v>
      </c>
      <c r="I478" s="8" t="s">
        <v>27</v>
      </c>
      <c r="J478" s="8" t="s">
        <v>641</v>
      </c>
      <c r="K478" s="8"/>
      <c r="L478" s="11">
        <v>4.2</v>
      </c>
      <c r="M478" s="11">
        <v>0</v>
      </c>
      <c r="N478" s="11">
        <v>4.2</v>
      </c>
      <c r="O478" s="11">
        <f>L478*4</f>
        <v>16.8</v>
      </c>
      <c r="P478" s="11">
        <f>M478*4</f>
        <v>0</v>
      </c>
      <c r="Q478" s="11">
        <f>N478*4</f>
        <v>16.8</v>
      </c>
      <c r="R478" s="12"/>
      <c r="S478" s="12"/>
    </row>
    <row r="479" spans="1:19" x14ac:dyDescent="0.25">
      <c r="A479" s="7">
        <v>480</v>
      </c>
      <c r="B479" s="8" t="s">
        <v>263</v>
      </c>
      <c r="C479" s="8" t="s">
        <v>530</v>
      </c>
      <c r="D479" s="7" t="s">
        <v>730</v>
      </c>
      <c r="E479" s="8" t="s">
        <v>744</v>
      </c>
      <c r="F479" s="9">
        <v>6</v>
      </c>
      <c r="G479" s="10" t="s">
        <v>19</v>
      </c>
      <c r="H479" s="8" t="s">
        <v>20</v>
      </c>
      <c r="I479" s="8" t="s">
        <v>21</v>
      </c>
      <c r="J479" s="8"/>
      <c r="K479" s="8"/>
      <c r="L479" s="11">
        <v>1.3</v>
      </c>
      <c r="M479" s="11">
        <v>2.9</v>
      </c>
      <c r="N479" s="11">
        <v>3.1</v>
      </c>
      <c r="O479" s="11">
        <f>L479*4</f>
        <v>5.2</v>
      </c>
      <c r="P479" s="11">
        <f>M479*4</f>
        <v>11.6</v>
      </c>
      <c r="Q479" s="11">
        <f>N479*4</f>
        <v>12.4</v>
      </c>
      <c r="R479" s="12">
        <f>(4/3)*3.14*(Q479/2)^3</f>
        <v>997.79989333333344</v>
      </c>
      <c r="S479" s="12">
        <f>R479/1000</f>
        <v>0.99779989333333341</v>
      </c>
    </row>
    <row r="480" spans="1:19" x14ac:dyDescent="0.25">
      <c r="A480" s="7">
        <v>481</v>
      </c>
      <c r="B480" s="8" t="s">
        <v>263</v>
      </c>
      <c r="C480" s="8" t="s">
        <v>266</v>
      </c>
      <c r="D480" s="7" t="s">
        <v>730</v>
      </c>
      <c r="E480" s="8" t="s">
        <v>744</v>
      </c>
      <c r="F480" s="9">
        <v>4</v>
      </c>
      <c r="G480" s="10" t="s">
        <v>19</v>
      </c>
      <c r="H480" s="8" t="s">
        <v>26</v>
      </c>
      <c r="I480" s="8" t="s">
        <v>27</v>
      </c>
      <c r="J480" s="8" t="s">
        <v>22</v>
      </c>
      <c r="K480" s="8"/>
      <c r="L480" s="11">
        <v>2</v>
      </c>
      <c r="M480" s="11">
        <v>1.4</v>
      </c>
      <c r="N480" s="11">
        <v>2</v>
      </c>
      <c r="O480" s="11">
        <f>L480*4</f>
        <v>8</v>
      </c>
      <c r="P480" s="11">
        <f>M480*4</f>
        <v>5.6</v>
      </c>
      <c r="Q480" s="11">
        <f>N480*4</f>
        <v>8</v>
      </c>
      <c r="R480" s="12">
        <f>2/3*3.14*(Q480/2)^3</f>
        <v>133.97333333333333</v>
      </c>
      <c r="S480" s="12">
        <f>R480/1000</f>
        <v>0.13397333333333333</v>
      </c>
    </row>
    <row r="481" spans="1:19" x14ac:dyDescent="0.25">
      <c r="A481" s="7">
        <v>482</v>
      </c>
      <c r="B481" s="8" t="s">
        <v>263</v>
      </c>
      <c r="C481" s="8" t="s">
        <v>267</v>
      </c>
      <c r="D481" s="7" t="s">
        <v>730</v>
      </c>
      <c r="E481" s="8" t="s">
        <v>744</v>
      </c>
      <c r="F481" s="9">
        <v>4</v>
      </c>
      <c r="G481" s="10" t="s">
        <v>19</v>
      </c>
      <c r="H481" s="8" t="s">
        <v>20</v>
      </c>
      <c r="I481" s="8" t="s">
        <v>21</v>
      </c>
      <c r="J481" s="8" t="s">
        <v>134</v>
      </c>
      <c r="K481" s="8"/>
      <c r="L481" s="11">
        <v>3.1</v>
      </c>
      <c r="M481" s="11">
        <v>2.8</v>
      </c>
      <c r="N481" s="11">
        <v>3.1</v>
      </c>
      <c r="O481" s="11">
        <f>L481*4</f>
        <v>12.4</v>
      </c>
      <c r="P481" s="11">
        <f>M481*4</f>
        <v>11.2</v>
      </c>
      <c r="Q481" s="11">
        <f>N481*4</f>
        <v>12.4</v>
      </c>
      <c r="R481" s="12">
        <f>2/3*3.14*(Q481/2)^3</f>
        <v>498.89994666666672</v>
      </c>
      <c r="S481" s="12">
        <f>R481/1000</f>
        <v>0.4988999466666667</v>
      </c>
    </row>
    <row r="482" spans="1:19" x14ac:dyDescent="0.25">
      <c r="A482" s="7">
        <v>483</v>
      </c>
      <c r="B482" s="8" t="s">
        <v>263</v>
      </c>
      <c r="C482" s="8" t="s">
        <v>450</v>
      </c>
      <c r="D482" s="7" t="s">
        <v>730</v>
      </c>
      <c r="E482" s="8" t="s">
        <v>744</v>
      </c>
      <c r="F482" s="9">
        <v>5</v>
      </c>
      <c r="G482" s="10" t="s">
        <v>25</v>
      </c>
      <c r="H482" s="8" t="s">
        <v>20</v>
      </c>
      <c r="I482" s="8" t="s">
        <v>21</v>
      </c>
      <c r="J482" s="8" t="s">
        <v>134</v>
      </c>
      <c r="K482" s="8"/>
      <c r="L482" s="11">
        <v>3.1</v>
      </c>
      <c r="M482" s="11">
        <v>3</v>
      </c>
      <c r="N482" s="11">
        <v>3.5</v>
      </c>
      <c r="O482" s="11">
        <f>L482*4</f>
        <v>12.4</v>
      </c>
      <c r="P482" s="11">
        <f>M482*4</f>
        <v>12</v>
      </c>
      <c r="Q482" s="11">
        <f>N482*4</f>
        <v>14</v>
      </c>
      <c r="R482" s="12">
        <f>(4/3)*3.14*(Q482/2)^3</f>
        <v>1436.0266666666666</v>
      </c>
      <c r="S482" s="12">
        <f>R482/1000</f>
        <v>1.4360266666666666</v>
      </c>
    </row>
    <row r="483" spans="1:19" x14ac:dyDescent="0.25">
      <c r="A483" s="7">
        <v>484</v>
      </c>
      <c r="B483" s="8" t="s">
        <v>137</v>
      </c>
      <c r="C483" s="8" t="s">
        <v>268</v>
      </c>
      <c r="D483" s="7" t="s">
        <v>731</v>
      </c>
      <c r="E483" s="8" t="s">
        <v>743</v>
      </c>
      <c r="F483" s="9">
        <v>4</v>
      </c>
      <c r="G483" s="10" t="s">
        <v>19</v>
      </c>
      <c r="H483" s="8" t="s">
        <v>115</v>
      </c>
      <c r="I483" s="8" t="s">
        <v>21</v>
      </c>
      <c r="J483" s="8" t="s">
        <v>22</v>
      </c>
      <c r="K483" s="8"/>
      <c r="L483" s="11">
        <v>2.9</v>
      </c>
      <c r="M483" s="11">
        <v>2.6</v>
      </c>
      <c r="N483" s="11">
        <v>2.9</v>
      </c>
      <c r="O483" s="11">
        <f>L483*4</f>
        <v>11.6</v>
      </c>
      <c r="P483" s="11">
        <f>M483*4</f>
        <v>10.4</v>
      </c>
      <c r="Q483" s="11">
        <f>N483*4</f>
        <v>11.6</v>
      </c>
      <c r="R483" s="12">
        <f>2/3*3.14*(Q483/2)^3</f>
        <v>408.43445333333329</v>
      </c>
      <c r="S483" s="12">
        <f>R483/1000</f>
        <v>0.40843445333333328</v>
      </c>
    </row>
    <row r="484" spans="1:19" x14ac:dyDescent="0.25">
      <c r="A484" s="7">
        <v>485</v>
      </c>
      <c r="B484" s="8" t="s">
        <v>137</v>
      </c>
      <c r="C484" s="8" t="s">
        <v>451</v>
      </c>
      <c r="D484" s="7" t="s">
        <v>731</v>
      </c>
      <c r="E484" s="8" t="s">
        <v>743</v>
      </c>
      <c r="F484" s="9">
        <v>5</v>
      </c>
      <c r="G484" s="10" t="s">
        <v>25</v>
      </c>
      <c r="H484" s="8" t="s">
        <v>20</v>
      </c>
      <c r="I484" s="8" t="s">
        <v>21</v>
      </c>
      <c r="J484" s="8" t="s">
        <v>22</v>
      </c>
      <c r="K484" s="8"/>
      <c r="L484" s="11">
        <v>2.8</v>
      </c>
      <c r="M484" s="11">
        <v>2.4</v>
      </c>
      <c r="N484" s="11">
        <v>3.2</v>
      </c>
      <c r="O484" s="11">
        <f>L484*4</f>
        <v>11.2</v>
      </c>
      <c r="P484" s="11">
        <f>M484*4</f>
        <v>9.6</v>
      </c>
      <c r="Q484" s="11">
        <f>N484*4</f>
        <v>12.8</v>
      </c>
      <c r="R484" s="12">
        <f>(4/3)*3.14*(Q484/2)^3</f>
        <v>1097.5095466666669</v>
      </c>
      <c r="S484" s="12">
        <f>R484/1000</f>
        <v>1.0975095466666669</v>
      </c>
    </row>
    <row r="485" spans="1:19" x14ac:dyDescent="0.25">
      <c r="A485" s="7">
        <v>486</v>
      </c>
      <c r="B485" s="8" t="s">
        <v>137</v>
      </c>
      <c r="C485" s="8" t="s">
        <v>269</v>
      </c>
      <c r="D485" s="7" t="s">
        <v>731</v>
      </c>
      <c r="E485" s="8" t="s">
        <v>743</v>
      </c>
      <c r="F485" s="9">
        <v>4</v>
      </c>
      <c r="G485" s="10" t="s">
        <v>19</v>
      </c>
      <c r="H485" s="8" t="s">
        <v>20</v>
      </c>
      <c r="I485" s="8" t="s">
        <v>21</v>
      </c>
      <c r="J485" s="8" t="s">
        <v>22</v>
      </c>
      <c r="K485" s="8"/>
      <c r="L485" s="11">
        <v>2.5</v>
      </c>
      <c r="M485" s="11">
        <v>2.2999999999999998</v>
      </c>
      <c r="N485" s="11">
        <v>2.5</v>
      </c>
      <c r="O485" s="11">
        <f>L485*4</f>
        <v>10</v>
      </c>
      <c r="P485" s="11">
        <f>M485*4</f>
        <v>9.1999999999999993</v>
      </c>
      <c r="Q485" s="11">
        <f>N485*4</f>
        <v>10</v>
      </c>
      <c r="R485" s="12">
        <f>2/3*3.14*(Q485/2)^3</f>
        <v>261.66666666666669</v>
      </c>
      <c r="S485" s="12">
        <f>R485/1000</f>
        <v>0.26166666666666666</v>
      </c>
    </row>
    <row r="486" spans="1:19" x14ac:dyDescent="0.25">
      <c r="A486" s="7">
        <v>487</v>
      </c>
      <c r="B486" s="8" t="s">
        <v>137</v>
      </c>
      <c r="C486" s="8" t="s">
        <v>682</v>
      </c>
      <c r="D486" s="7" t="s">
        <v>732</v>
      </c>
      <c r="E486" s="8" t="s">
        <v>744</v>
      </c>
      <c r="F486" s="9">
        <v>14</v>
      </c>
      <c r="G486" s="10"/>
      <c r="H486" s="8" t="s">
        <v>100</v>
      </c>
      <c r="I486" s="8" t="s">
        <v>21</v>
      </c>
      <c r="J486" s="8" t="s">
        <v>641</v>
      </c>
      <c r="K486" s="8"/>
      <c r="L486" s="11">
        <v>4.7</v>
      </c>
      <c r="M486" s="11">
        <v>0</v>
      </c>
      <c r="N486" s="11">
        <v>4.7</v>
      </c>
      <c r="O486" s="11">
        <f>L486*4</f>
        <v>18.8</v>
      </c>
      <c r="P486" s="11">
        <f>M486*4</f>
        <v>0</v>
      </c>
      <c r="Q486" s="11">
        <f>N486*4</f>
        <v>18.8</v>
      </c>
      <c r="R486" s="12"/>
      <c r="S486" s="12"/>
    </row>
    <row r="487" spans="1:19" x14ac:dyDescent="0.25">
      <c r="A487" s="7">
        <v>488</v>
      </c>
      <c r="B487" s="8" t="s">
        <v>137</v>
      </c>
      <c r="C487" s="8" t="s">
        <v>683</v>
      </c>
      <c r="D487" s="7" t="s">
        <v>732</v>
      </c>
      <c r="E487" s="8" t="s">
        <v>744</v>
      </c>
      <c r="F487" s="9">
        <v>14</v>
      </c>
      <c r="G487" s="10"/>
      <c r="H487" s="8" t="s">
        <v>20</v>
      </c>
      <c r="I487" s="8" t="s">
        <v>21</v>
      </c>
      <c r="J487" s="8" t="s">
        <v>641</v>
      </c>
      <c r="K487" s="8"/>
      <c r="L487" s="11">
        <v>4.3</v>
      </c>
      <c r="M487" s="11">
        <v>0</v>
      </c>
      <c r="N487" s="11">
        <v>4.3</v>
      </c>
      <c r="O487" s="11">
        <f>L487*4</f>
        <v>17.2</v>
      </c>
      <c r="P487" s="11">
        <f>M487*4</f>
        <v>0</v>
      </c>
      <c r="Q487" s="11">
        <f>N487*4</f>
        <v>17.2</v>
      </c>
      <c r="R487" s="12"/>
      <c r="S487" s="12"/>
    </row>
    <row r="488" spans="1:19" x14ac:dyDescent="0.25">
      <c r="A488" s="7">
        <v>489</v>
      </c>
      <c r="B488" s="8" t="s">
        <v>137</v>
      </c>
      <c r="C488" s="8" t="s">
        <v>684</v>
      </c>
      <c r="D488" s="7" t="s">
        <v>732</v>
      </c>
      <c r="E488" s="8" t="s">
        <v>744</v>
      </c>
      <c r="F488" s="9">
        <v>14</v>
      </c>
      <c r="G488" s="10"/>
      <c r="H488" s="8" t="s">
        <v>20</v>
      </c>
      <c r="I488" s="8" t="s">
        <v>21</v>
      </c>
      <c r="J488" s="8" t="s">
        <v>641</v>
      </c>
      <c r="K488" s="8" t="s">
        <v>406</v>
      </c>
      <c r="L488" s="11">
        <v>4</v>
      </c>
      <c r="M488" s="11">
        <v>0</v>
      </c>
      <c r="N488" s="11">
        <v>4</v>
      </c>
      <c r="O488" s="11">
        <f>L488*4</f>
        <v>16</v>
      </c>
      <c r="P488" s="11">
        <f>M488*4</f>
        <v>0</v>
      </c>
      <c r="Q488" s="11">
        <f>N488*4</f>
        <v>16</v>
      </c>
      <c r="R488" s="12"/>
      <c r="S488" s="12"/>
    </row>
    <row r="489" spans="1:19" x14ac:dyDescent="0.25">
      <c r="A489" s="7">
        <v>490</v>
      </c>
      <c r="B489" s="8" t="s">
        <v>137</v>
      </c>
      <c r="C489" s="8" t="s">
        <v>685</v>
      </c>
      <c r="D489" s="7" t="s">
        <v>732</v>
      </c>
      <c r="E489" s="8" t="s">
        <v>744</v>
      </c>
      <c r="F489" s="9">
        <v>14</v>
      </c>
      <c r="G489" s="10"/>
      <c r="H489" s="8" t="s">
        <v>20</v>
      </c>
      <c r="I489" s="8" t="s">
        <v>21</v>
      </c>
      <c r="J489" s="8"/>
      <c r="K489" s="8"/>
      <c r="L489" s="11">
        <v>4.5999999999999996</v>
      </c>
      <c r="M489" s="11">
        <v>2.2999999999999998</v>
      </c>
      <c r="N489" s="11">
        <v>4.5999999999999996</v>
      </c>
      <c r="O489" s="11">
        <f>L489*4</f>
        <v>18.399999999999999</v>
      </c>
      <c r="P489" s="11">
        <f>M489*4</f>
        <v>9.1999999999999993</v>
      </c>
      <c r="Q489" s="11">
        <f>N489*4</f>
        <v>18.399999999999999</v>
      </c>
      <c r="R489" s="12"/>
      <c r="S489" s="12"/>
    </row>
    <row r="490" spans="1:19" x14ac:dyDescent="0.25">
      <c r="A490" s="7">
        <v>491</v>
      </c>
      <c r="B490" s="8" t="s">
        <v>137</v>
      </c>
      <c r="C490" s="8" t="s">
        <v>686</v>
      </c>
      <c r="D490" s="7" t="s">
        <v>732</v>
      </c>
      <c r="E490" s="8" t="s">
        <v>744</v>
      </c>
      <c r="F490" s="9">
        <v>14</v>
      </c>
      <c r="G490" s="10"/>
      <c r="H490" s="8" t="s">
        <v>26</v>
      </c>
      <c r="I490" s="8" t="s">
        <v>27</v>
      </c>
      <c r="J490" s="8" t="s">
        <v>641</v>
      </c>
      <c r="K490" s="8"/>
      <c r="L490" s="11">
        <v>4.8</v>
      </c>
      <c r="M490" s="11">
        <v>4.2</v>
      </c>
      <c r="N490" s="11">
        <v>4.8</v>
      </c>
      <c r="O490" s="11">
        <f>L490*4</f>
        <v>19.2</v>
      </c>
      <c r="P490" s="11">
        <f>M490*4</f>
        <v>16.8</v>
      </c>
      <c r="Q490" s="11">
        <f>N490*4</f>
        <v>19.2</v>
      </c>
      <c r="R490" s="12"/>
      <c r="S490" s="12"/>
    </row>
    <row r="491" spans="1:19" x14ac:dyDescent="0.25">
      <c r="A491" s="7">
        <v>492</v>
      </c>
      <c r="B491" s="8" t="s">
        <v>137</v>
      </c>
      <c r="C491" s="8" t="s">
        <v>644</v>
      </c>
      <c r="D491" s="7" t="s">
        <v>732</v>
      </c>
      <c r="E491" s="8" t="s">
        <v>744</v>
      </c>
      <c r="F491" s="9">
        <v>13</v>
      </c>
      <c r="G491" s="10"/>
      <c r="H491" s="8" t="s">
        <v>154</v>
      </c>
      <c r="I491" s="8" t="s">
        <v>155</v>
      </c>
      <c r="J491" s="8" t="s">
        <v>641</v>
      </c>
      <c r="K491" s="8"/>
      <c r="L491" s="11">
        <v>3.6</v>
      </c>
      <c r="M491" s="11">
        <v>3.7</v>
      </c>
      <c r="N491" s="11">
        <v>3.6</v>
      </c>
      <c r="O491" s="11">
        <f>L491*4</f>
        <v>14.4</v>
      </c>
      <c r="P491" s="11">
        <f>M491*4</f>
        <v>14.8</v>
      </c>
      <c r="Q491" s="11">
        <f>N491*4</f>
        <v>14.4</v>
      </c>
      <c r="R491" s="12"/>
      <c r="S491" s="12"/>
    </row>
    <row r="492" spans="1:19" x14ac:dyDescent="0.25">
      <c r="A492" s="7">
        <v>493</v>
      </c>
      <c r="B492" s="8" t="s">
        <v>137</v>
      </c>
      <c r="C492" s="8" t="s">
        <v>645</v>
      </c>
      <c r="D492" s="7" t="s">
        <v>732</v>
      </c>
      <c r="E492" s="8" t="s">
        <v>744</v>
      </c>
      <c r="F492" s="9">
        <v>13</v>
      </c>
      <c r="G492" s="10"/>
      <c r="H492" s="8" t="s">
        <v>154</v>
      </c>
      <c r="I492" s="8" t="s">
        <v>155</v>
      </c>
      <c r="J492" s="8" t="s">
        <v>641</v>
      </c>
      <c r="K492" s="8"/>
      <c r="L492" s="11">
        <v>4.9000000000000004</v>
      </c>
      <c r="M492" s="11">
        <v>4.0999999999999996</v>
      </c>
      <c r="N492" s="11">
        <v>4.9000000000000004</v>
      </c>
      <c r="O492" s="11">
        <f>L492*4</f>
        <v>19.600000000000001</v>
      </c>
      <c r="P492" s="11">
        <f>M492*4</f>
        <v>16.399999999999999</v>
      </c>
      <c r="Q492" s="11">
        <f>N492*4</f>
        <v>19.600000000000001</v>
      </c>
      <c r="R492" s="12"/>
      <c r="S492" s="12"/>
    </row>
    <row r="493" spans="1:19" x14ac:dyDescent="0.25">
      <c r="A493" s="7">
        <v>494</v>
      </c>
      <c r="B493" s="8" t="s">
        <v>137</v>
      </c>
      <c r="C493" s="8" t="s">
        <v>646</v>
      </c>
      <c r="D493" s="7" t="s">
        <v>732</v>
      </c>
      <c r="E493" s="8" t="s">
        <v>744</v>
      </c>
      <c r="F493" s="9">
        <v>13</v>
      </c>
      <c r="G493" s="10"/>
      <c r="H493" s="8" t="s">
        <v>26</v>
      </c>
      <c r="I493" s="8" t="s">
        <v>27</v>
      </c>
      <c r="J493" s="8" t="s">
        <v>641</v>
      </c>
      <c r="K493" s="8"/>
      <c r="L493" s="11">
        <v>4.5999999999999996</v>
      </c>
      <c r="M493" s="11">
        <v>4.5999999999999996</v>
      </c>
      <c r="N493" s="11">
        <v>4.5999999999999996</v>
      </c>
      <c r="O493" s="11">
        <f>L493*4</f>
        <v>18.399999999999999</v>
      </c>
      <c r="P493" s="11">
        <f>M493*4</f>
        <v>18.399999999999999</v>
      </c>
      <c r="Q493" s="11">
        <f>N493*4</f>
        <v>18.399999999999999</v>
      </c>
      <c r="R493" s="12"/>
      <c r="S493" s="12"/>
    </row>
    <row r="494" spans="1:19" x14ac:dyDescent="0.25">
      <c r="A494" s="7">
        <v>495</v>
      </c>
      <c r="B494" s="8" t="s">
        <v>137</v>
      </c>
      <c r="C494" s="8" t="s">
        <v>647</v>
      </c>
      <c r="D494" s="7" t="s">
        <v>732</v>
      </c>
      <c r="E494" s="8" t="s">
        <v>744</v>
      </c>
      <c r="F494" s="9">
        <v>13</v>
      </c>
      <c r="G494" s="10"/>
      <c r="H494" s="8" t="s">
        <v>154</v>
      </c>
      <c r="I494" s="8" t="s">
        <v>155</v>
      </c>
      <c r="J494" s="8" t="s">
        <v>641</v>
      </c>
      <c r="K494" s="8"/>
      <c r="L494" s="11">
        <v>3.5</v>
      </c>
      <c r="M494" s="11">
        <v>3.6</v>
      </c>
      <c r="N494" s="11">
        <v>3.5</v>
      </c>
      <c r="O494" s="11">
        <f>L494*4</f>
        <v>14</v>
      </c>
      <c r="P494" s="11">
        <f>M494*4</f>
        <v>14.4</v>
      </c>
      <c r="Q494" s="11">
        <f>N494*4</f>
        <v>14</v>
      </c>
      <c r="R494" s="12"/>
      <c r="S494" s="12"/>
    </row>
    <row r="495" spans="1:19" x14ac:dyDescent="0.25">
      <c r="A495" s="7">
        <v>496</v>
      </c>
      <c r="B495" s="8" t="s">
        <v>137</v>
      </c>
      <c r="C495" s="8" t="s">
        <v>687</v>
      </c>
      <c r="D495" s="7" t="s">
        <v>732</v>
      </c>
      <c r="E495" s="8" t="s">
        <v>744</v>
      </c>
      <c r="F495" s="9">
        <v>14</v>
      </c>
      <c r="G495" s="10"/>
      <c r="H495" s="8" t="s">
        <v>26</v>
      </c>
      <c r="I495" s="8" t="s">
        <v>27</v>
      </c>
      <c r="J495" s="8" t="s">
        <v>641</v>
      </c>
      <c r="K495" s="8"/>
      <c r="L495" s="11">
        <v>5</v>
      </c>
      <c r="M495" s="11">
        <v>0</v>
      </c>
      <c r="N495" s="11">
        <v>5</v>
      </c>
      <c r="O495" s="11">
        <f>L495*4</f>
        <v>20</v>
      </c>
      <c r="P495" s="11">
        <f>M495*4</f>
        <v>0</v>
      </c>
      <c r="Q495" s="11">
        <f>N495*4</f>
        <v>20</v>
      </c>
      <c r="R495" s="12"/>
      <c r="S495" s="12"/>
    </row>
    <row r="496" spans="1:19" x14ac:dyDescent="0.25">
      <c r="A496" s="7">
        <v>497</v>
      </c>
      <c r="B496" s="8" t="s">
        <v>137</v>
      </c>
      <c r="C496" s="8" t="s">
        <v>688</v>
      </c>
      <c r="D496" s="7" t="s">
        <v>732</v>
      </c>
      <c r="E496" s="8" t="s">
        <v>744</v>
      </c>
      <c r="F496" s="9">
        <v>14</v>
      </c>
      <c r="G496" s="10"/>
      <c r="H496" s="8" t="s">
        <v>154</v>
      </c>
      <c r="I496" s="8" t="s">
        <v>155</v>
      </c>
      <c r="J496" s="8" t="s">
        <v>641</v>
      </c>
      <c r="K496" s="8"/>
      <c r="L496" s="11">
        <v>5.2</v>
      </c>
      <c r="M496" s="11">
        <v>0</v>
      </c>
      <c r="N496" s="11">
        <v>5.2</v>
      </c>
      <c r="O496" s="11">
        <f>L496*4</f>
        <v>20.8</v>
      </c>
      <c r="P496" s="11">
        <f>M496*4</f>
        <v>0</v>
      </c>
      <c r="Q496" s="11">
        <f>N496*4</f>
        <v>20.8</v>
      </c>
      <c r="R496" s="12"/>
      <c r="S496" s="12"/>
    </row>
    <row r="497" spans="1:19" x14ac:dyDescent="0.25">
      <c r="A497" s="7">
        <v>498</v>
      </c>
      <c r="B497" s="8" t="s">
        <v>137</v>
      </c>
      <c r="C497" s="8" t="s">
        <v>689</v>
      </c>
      <c r="D497" s="7" t="s">
        <v>732</v>
      </c>
      <c r="E497" s="8" t="s">
        <v>744</v>
      </c>
      <c r="F497" s="9">
        <v>14</v>
      </c>
      <c r="G497" s="10"/>
      <c r="H497" s="8" t="s">
        <v>26</v>
      </c>
      <c r="I497" s="8" t="s">
        <v>27</v>
      </c>
      <c r="J497" s="8" t="s">
        <v>641</v>
      </c>
      <c r="K497" s="8"/>
      <c r="L497" s="11">
        <v>4.4000000000000004</v>
      </c>
      <c r="M497" s="11">
        <v>0</v>
      </c>
      <c r="N497" s="11">
        <v>4.4000000000000004</v>
      </c>
      <c r="O497" s="11">
        <f>L497*4</f>
        <v>17.600000000000001</v>
      </c>
      <c r="P497" s="11">
        <f>M497*4</f>
        <v>0</v>
      </c>
      <c r="Q497" s="11">
        <f>N497*4</f>
        <v>17.600000000000001</v>
      </c>
      <c r="R497" s="12"/>
      <c r="S497" s="12"/>
    </row>
    <row r="498" spans="1:19" x14ac:dyDescent="0.25">
      <c r="A498" s="7">
        <v>499</v>
      </c>
      <c r="B498" s="8" t="s">
        <v>137</v>
      </c>
      <c r="C498" s="8" t="s">
        <v>648</v>
      </c>
      <c r="D498" s="7" t="s">
        <v>732</v>
      </c>
      <c r="E498" s="8" t="s">
        <v>744</v>
      </c>
      <c r="F498" s="9">
        <v>13</v>
      </c>
      <c r="G498" s="10"/>
      <c r="H498" s="8" t="s">
        <v>20</v>
      </c>
      <c r="I498" s="8" t="s">
        <v>21</v>
      </c>
      <c r="J498" s="8" t="s">
        <v>641</v>
      </c>
      <c r="K498" s="8"/>
      <c r="L498" s="11">
        <v>3.4</v>
      </c>
      <c r="M498" s="11">
        <v>3.5</v>
      </c>
      <c r="N498" s="11">
        <v>3.4</v>
      </c>
      <c r="O498" s="11">
        <f>L498*4</f>
        <v>13.6</v>
      </c>
      <c r="P498" s="11">
        <f>M498*4</f>
        <v>14</v>
      </c>
      <c r="Q498" s="11">
        <f>N498*4</f>
        <v>13.6</v>
      </c>
      <c r="R498" s="12"/>
      <c r="S498" s="12"/>
    </row>
    <row r="499" spans="1:19" x14ac:dyDescent="0.25">
      <c r="A499" s="7">
        <v>500</v>
      </c>
      <c r="B499" s="8" t="s">
        <v>137</v>
      </c>
      <c r="C499" s="8" t="s">
        <v>649</v>
      </c>
      <c r="D499" s="7" t="s">
        <v>732</v>
      </c>
      <c r="E499" s="8" t="s">
        <v>744</v>
      </c>
      <c r="F499" s="9">
        <v>13</v>
      </c>
      <c r="G499" s="10"/>
      <c r="H499" s="8" t="s">
        <v>20</v>
      </c>
      <c r="I499" s="8" t="s">
        <v>21</v>
      </c>
      <c r="J499" s="8" t="s">
        <v>641</v>
      </c>
      <c r="K499" s="8"/>
      <c r="L499" s="11">
        <v>4.0999999999999996</v>
      </c>
      <c r="M499" s="11">
        <v>3.3</v>
      </c>
      <c r="N499" s="11">
        <v>4.0999999999999996</v>
      </c>
      <c r="O499" s="11">
        <f>L499*4</f>
        <v>16.399999999999999</v>
      </c>
      <c r="P499" s="11">
        <f>M499*4</f>
        <v>13.2</v>
      </c>
      <c r="Q499" s="11">
        <f>N499*4</f>
        <v>16.399999999999999</v>
      </c>
      <c r="R499" s="12"/>
      <c r="S499" s="12"/>
    </row>
    <row r="500" spans="1:19" x14ac:dyDescent="0.25">
      <c r="A500" s="7">
        <v>501</v>
      </c>
      <c r="B500" s="8" t="s">
        <v>137</v>
      </c>
      <c r="C500" s="8" t="s">
        <v>690</v>
      </c>
      <c r="D500" s="7" t="s">
        <v>732</v>
      </c>
      <c r="E500" s="8" t="s">
        <v>744</v>
      </c>
      <c r="F500" s="9">
        <v>14</v>
      </c>
      <c r="G500" s="10"/>
      <c r="H500" s="8" t="s">
        <v>154</v>
      </c>
      <c r="I500" s="8" t="s">
        <v>155</v>
      </c>
      <c r="J500" s="8"/>
      <c r="K500" s="8"/>
      <c r="L500" s="11">
        <v>4.8</v>
      </c>
      <c r="M500" s="11">
        <v>2.1</v>
      </c>
      <c r="N500" s="11">
        <v>4.8</v>
      </c>
      <c r="O500" s="11">
        <f>L500*4</f>
        <v>19.2</v>
      </c>
      <c r="P500" s="11">
        <f>M500*4</f>
        <v>8.4</v>
      </c>
      <c r="Q500" s="11">
        <f>N500*4</f>
        <v>19.2</v>
      </c>
      <c r="R500" s="12"/>
      <c r="S500" s="12"/>
    </row>
    <row r="501" spans="1:19" x14ac:dyDescent="0.25">
      <c r="A501" s="7">
        <v>502</v>
      </c>
      <c r="B501" s="8" t="s">
        <v>137</v>
      </c>
      <c r="C501" s="8" t="s">
        <v>650</v>
      </c>
      <c r="D501" s="7" t="s">
        <v>732</v>
      </c>
      <c r="E501" s="8" t="s">
        <v>744</v>
      </c>
      <c r="F501" s="9">
        <v>13</v>
      </c>
      <c r="G501" s="10"/>
      <c r="H501" s="8" t="s">
        <v>154</v>
      </c>
      <c r="I501" s="8" t="s">
        <v>155</v>
      </c>
      <c r="J501" s="8" t="s">
        <v>641</v>
      </c>
      <c r="K501" s="8"/>
      <c r="L501" s="11">
        <v>4.7</v>
      </c>
      <c r="M501" s="11">
        <v>0</v>
      </c>
      <c r="N501" s="11">
        <v>4.7</v>
      </c>
      <c r="O501" s="11">
        <f>L501*4</f>
        <v>18.8</v>
      </c>
      <c r="P501" s="11">
        <f>M501*4</f>
        <v>0</v>
      </c>
      <c r="Q501" s="11">
        <f>N501*4</f>
        <v>18.8</v>
      </c>
      <c r="R501" s="12"/>
      <c r="S501" s="12"/>
    </row>
    <row r="502" spans="1:19" x14ac:dyDescent="0.25">
      <c r="A502" s="7">
        <v>503</v>
      </c>
      <c r="B502" s="8" t="s">
        <v>137</v>
      </c>
      <c r="C502" s="8" t="s">
        <v>691</v>
      </c>
      <c r="D502" s="7" t="s">
        <v>732</v>
      </c>
      <c r="E502" s="8" t="s">
        <v>744</v>
      </c>
      <c r="F502" s="9">
        <v>14</v>
      </c>
      <c r="G502" s="10"/>
      <c r="H502" s="8" t="s">
        <v>26</v>
      </c>
      <c r="I502" s="8" t="s">
        <v>27</v>
      </c>
      <c r="J502" s="8"/>
      <c r="K502" s="8"/>
      <c r="L502" s="11">
        <v>5.0999999999999996</v>
      </c>
      <c r="M502" s="11">
        <v>2.6</v>
      </c>
      <c r="N502" s="11">
        <v>5.0999999999999996</v>
      </c>
      <c r="O502" s="11">
        <f>L502*4</f>
        <v>20.399999999999999</v>
      </c>
      <c r="P502" s="11">
        <f>M502*4</f>
        <v>10.4</v>
      </c>
      <c r="Q502" s="11">
        <f>N502*4</f>
        <v>20.399999999999999</v>
      </c>
      <c r="R502" s="12"/>
      <c r="S502" s="12"/>
    </row>
    <row r="503" spans="1:19" x14ac:dyDescent="0.25">
      <c r="A503" s="7">
        <v>504</v>
      </c>
      <c r="B503" s="8" t="s">
        <v>137</v>
      </c>
      <c r="C503" s="8" t="s">
        <v>452</v>
      </c>
      <c r="D503" s="7" t="s">
        <v>732</v>
      </c>
      <c r="E503" s="8" t="s">
        <v>744</v>
      </c>
      <c r="F503" s="9">
        <v>5</v>
      </c>
      <c r="G503" s="10" t="s">
        <v>25</v>
      </c>
      <c r="H503" s="8" t="s">
        <v>86</v>
      </c>
      <c r="I503" s="8" t="s">
        <v>86</v>
      </c>
      <c r="J503" s="8"/>
      <c r="K503" s="8"/>
      <c r="L503" s="11">
        <v>3.1</v>
      </c>
      <c r="M503" s="11">
        <v>2.2999999999999998</v>
      </c>
      <c r="N503" s="11">
        <v>3.3</v>
      </c>
      <c r="O503" s="11">
        <f>L503*4</f>
        <v>12.4</v>
      </c>
      <c r="P503" s="11">
        <f>M503*4</f>
        <v>9.1999999999999993</v>
      </c>
      <c r="Q503" s="11">
        <f>N503*4</f>
        <v>13.2</v>
      </c>
      <c r="R503" s="12">
        <f>(4/3)*3.14*(Q503/2)^3</f>
        <v>1203.6499199999998</v>
      </c>
      <c r="S503" s="12">
        <f>R503/1000</f>
        <v>1.2036499199999999</v>
      </c>
    </row>
    <row r="504" spans="1:19" x14ac:dyDescent="0.25">
      <c r="A504" s="7">
        <v>505</v>
      </c>
      <c r="B504" s="8" t="s">
        <v>137</v>
      </c>
      <c r="C504" s="8" t="s">
        <v>453</v>
      </c>
      <c r="D504" s="7" t="s">
        <v>732</v>
      </c>
      <c r="E504" s="8" t="s">
        <v>744</v>
      </c>
      <c r="F504" s="9">
        <v>5</v>
      </c>
      <c r="G504" s="10" t="s">
        <v>25</v>
      </c>
      <c r="H504" s="8" t="s">
        <v>154</v>
      </c>
      <c r="I504" s="8" t="s">
        <v>155</v>
      </c>
      <c r="J504" s="8" t="s">
        <v>134</v>
      </c>
      <c r="K504" s="8"/>
      <c r="L504" s="11">
        <v>2.9</v>
      </c>
      <c r="M504" s="11">
        <v>2.5</v>
      </c>
      <c r="N504" s="11">
        <v>3.2</v>
      </c>
      <c r="O504" s="11">
        <f>L504*4</f>
        <v>11.6</v>
      </c>
      <c r="P504" s="11">
        <f>M504*4</f>
        <v>10</v>
      </c>
      <c r="Q504" s="11">
        <f>N504*4</f>
        <v>12.8</v>
      </c>
      <c r="R504" s="12">
        <f>(4/3)*3.14*(Q504/2)^3</f>
        <v>1097.5095466666669</v>
      </c>
      <c r="S504" s="12">
        <f>R504/1000</f>
        <v>1.0975095466666669</v>
      </c>
    </row>
    <row r="505" spans="1:19" x14ac:dyDescent="0.25">
      <c r="A505" s="7">
        <v>506</v>
      </c>
      <c r="B505" s="8" t="s">
        <v>137</v>
      </c>
      <c r="C505" s="8" t="s">
        <v>270</v>
      </c>
      <c r="D505" s="7" t="s">
        <v>732</v>
      </c>
      <c r="E505" s="8" t="s">
        <v>744</v>
      </c>
      <c r="F505" s="9">
        <v>4</v>
      </c>
      <c r="G505" s="10" t="s">
        <v>19</v>
      </c>
      <c r="H505" s="8" t="s">
        <v>154</v>
      </c>
      <c r="I505" s="8" t="s">
        <v>155</v>
      </c>
      <c r="J505" s="8" t="s">
        <v>134</v>
      </c>
      <c r="K505" s="8"/>
      <c r="L505" s="11">
        <v>3</v>
      </c>
      <c r="M505" s="11">
        <v>2.8</v>
      </c>
      <c r="N505" s="11">
        <v>3</v>
      </c>
      <c r="O505" s="11">
        <f>L505*4</f>
        <v>12</v>
      </c>
      <c r="P505" s="11">
        <f>M505*4</f>
        <v>11.2</v>
      </c>
      <c r="Q505" s="11">
        <f>N505*4</f>
        <v>12</v>
      </c>
      <c r="R505" s="12">
        <f>2/3*3.14*(Q505/2)^3</f>
        <v>452.15999999999997</v>
      </c>
      <c r="S505" s="12">
        <f>R505/1000</f>
        <v>0.45215999999999995</v>
      </c>
    </row>
    <row r="506" spans="1:19" x14ac:dyDescent="0.25">
      <c r="A506" s="7">
        <v>507</v>
      </c>
      <c r="B506" s="8" t="s">
        <v>137</v>
      </c>
      <c r="C506" s="8" t="s">
        <v>271</v>
      </c>
      <c r="D506" s="7" t="s">
        <v>732</v>
      </c>
      <c r="E506" s="8" t="s">
        <v>744</v>
      </c>
      <c r="F506" s="9">
        <v>4</v>
      </c>
      <c r="G506" s="10" t="s">
        <v>19</v>
      </c>
      <c r="H506" s="8" t="s">
        <v>154</v>
      </c>
      <c r="I506" s="8" t="s">
        <v>155</v>
      </c>
      <c r="J506" s="8" t="s">
        <v>134</v>
      </c>
      <c r="K506" s="8"/>
      <c r="L506" s="11">
        <v>2.7</v>
      </c>
      <c r="M506" s="11">
        <v>2.1</v>
      </c>
      <c r="N506" s="11">
        <v>2.7</v>
      </c>
      <c r="O506" s="11">
        <f>L506*4</f>
        <v>10.8</v>
      </c>
      <c r="P506" s="11">
        <f>M506*4</f>
        <v>8.4</v>
      </c>
      <c r="Q506" s="11">
        <f>N506*4</f>
        <v>10.8</v>
      </c>
      <c r="R506" s="12">
        <f>2/3*3.14*(Q506/2)^3</f>
        <v>329.62464000000006</v>
      </c>
      <c r="S506" s="12">
        <f>R506/1000</f>
        <v>0.32962464000000008</v>
      </c>
    </row>
    <row r="507" spans="1:19" x14ac:dyDescent="0.25">
      <c r="A507" s="7">
        <v>508</v>
      </c>
      <c r="B507" s="8" t="s">
        <v>137</v>
      </c>
      <c r="C507" s="8" t="s">
        <v>272</v>
      </c>
      <c r="D507" s="7" t="s">
        <v>732</v>
      </c>
      <c r="E507" s="8" t="s">
        <v>744</v>
      </c>
      <c r="F507" s="9">
        <v>4</v>
      </c>
      <c r="G507" s="10" t="s">
        <v>19</v>
      </c>
      <c r="H507" s="8" t="s">
        <v>154</v>
      </c>
      <c r="I507" s="8" t="s">
        <v>155</v>
      </c>
      <c r="J507" s="8" t="s">
        <v>28</v>
      </c>
      <c r="K507" s="8"/>
      <c r="L507" s="11">
        <v>3.6</v>
      </c>
      <c r="M507" s="11">
        <v>3.1</v>
      </c>
      <c r="N507" s="11">
        <v>3.6</v>
      </c>
      <c r="O507" s="11">
        <f>L507*4</f>
        <v>14.4</v>
      </c>
      <c r="P507" s="11">
        <f>M507*4</f>
        <v>12.4</v>
      </c>
      <c r="Q507" s="11">
        <f>N507*4</f>
        <v>14.4</v>
      </c>
      <c r="R507" s="12">
        <f>2/3*3.14*(Q507/2)^3</f>
        <v>781.33248000000003</v>
      </c>
      <c r="S507" s="12">
        <f>R507/1000</f>
        <v>0.78133248</v>
      </c>
    </row>
    <row r="508" spans="1:19" x14ac:dyDescent="0.25">
      <c r="A508" s="7">
        <v>509</v>
      </c>
      <c r="B508" s="8" t="s">
        <v>137</v>
      </c>
      <c r="C508" s="8" t="s">
        <v>454</v>
      </c>
      <c r="D508" s="7" t="s">
        <v>732</v>
      </c>
      <c r="E508" s="8" t="s">
        <v>744</v>
      </c>
      <c r="F508" s="9">
        <v>5</v>
      </c>
      <c r="G508" s="10" t="s">
        <v>25</v>
      </c>
      <c r="H508" s="8" t="s">
        <v>154</v>
      </c>
      <c r="I508" s="8" t="s">
        <v>155</v>
      </c>
      <c r="J508" s="8" t="s">
        <v>28</v>
      </c>
      <c r="K508" s="8"/>
      <c r="L508" s="11">
        <v>3.5</v>
      </c>
      <c r="M508" s="11">
        <v>2.9</v>
      </c>
      <c r="N508" s="11">
        <v>3.5</v>
      </c>
      <c r="O508" s="11">
        <f>L508*4</f>
        <v>14</v>
      </c>
      <c r="P508" s="11">
        <f>M508*4</f>
        <v>11.6</v>
      </c>
      <c r="Q508" s="11">
        <f>N508*4</f>
        <v>14</v>
      </c>
      <c r="R508" s="12">
        <f>(4/3)*3.14*(Q508/2)^3</f>
        <v>1436.0266666666666</v>
      </c>
      <c r="S508" s="12">
        <f>R508/1000</f>
        <v>1.4360266666666666</v>
      </c>
    </row>
    <row r="509" spans="1:19" x14ac:dyDescent="0.25">
      <c r="A509" s="7">
        <v>510</v>
      </c>
      <c r="B509" s="8" t="s">
        <v>137</v>
      </c>
      <c r="C509" s="8" t="s">
        <v>273</v>
      </c>
      <c r="D509" s="7" t="s">
        <v>732</v>
      </c>
      <c r="E509" s="8" t="s">
        <v>744</v>
      </c>
      <c r="F509" s="9">
        <v>4</v>
      </c>
      <c r="G509" s="10" t="s">
        <v>19</v>
      </c>
      <c r="H509" s="8" t="s">
        <v>154</v>
      </c>
      <c r="I509" s="8" t="s">
        <v>155</v>
      </c>
      <c r="J509" s="8" t="s">
        <v>28</v>
      </c>
      <c r="K509" s="8"/>
      <c r="L509" s="11">
        <v>2.6</v>
      </c>
      <c r="M509" s="11">
        <v>2.4</v>
      </c>
      <c r="N509" s="11">
        <v>2.6</v>
      </c>
      <c r="O509" s="11">
        <f>L509*4</f>
        <v>10.4</v>
      </c>
      <c r="P509" s="11">
        <f>M509*4</f>
        <v>9.6</v>
      </c>
      <c r="Q509" s="11">
        <f>N509*4</f>
        <v>10.4</v>
      </c>
      <c r="R509" s="12">
        <f>2/3*3.14*(Q509/2)^3</f>
        <v>294.33941333333337</v>
      </c>
      <c r="S509" s="12">
        <f>R509/1000</f>
        <v>0.29433941333333336</v>
      </c>
    </row>
    <row r="510" spans="1:19" x14ac:dyDescent="0.25">
      <c r="A510" s="7">
        <v>511</v>
      </c>
      <c r="B510" s="8" t="s">
        <v>137</v>
      </c>
      <c r="C510" s="8" t="s">
        <v>138</v>
      </c>
      <c r="D510" s="7" t="s">
        <v>732</v>
      </c>
      <c r="E510" s="8" t="s">
        <v>744</v>
      </c>
      <c r="F510" s="9">
        <v>2</v>
      </c>
      <c r="G510" s="10" t="s">
        <v>25</v>
      </c>
      <c r="H510" s="8" t="s">
        <v>26</v>
      </c>
      <c r="I510" s="8" t="s">
        <v>27</v>
      </c>
      <c r="J510" s="8" t="s">
        <v>134</v>
      </c>
      <c r="K510" s="8"/>
      <c r="L510" s="11">
        <v>3.5</v>
      </c>
      <c r="M510" s="11">
        <v>2.7</v>
      </c>
      <c r="N510" s="11">
        <v>3.5</v>
      </c>
      <c r="O510" s="11">
        <f>L510*4</f>
        <v>14</v>
      </c>
      <c r="P510" s="11">
        <f>M510*4</f>
        <v>10.8</v>
      </c>
      <c r="Q510" s="11">
        <f>N510*4</f>
        <v>14</v>
      </c>
      <c r="R510" s="12">
        <f>(1/3)*3.14*P510^2*(3*(Q510/2)-P510)</f>
        <v>1245.24864</v>
      </c>
      <c r="S510" s="12">
        <f>R510/1000</f>
        <v>1.24524864</v>
      </c>
    </row>
    <row r="511" spans="1:19" x14ac:dyDescent="0.25">
      <c r="A511" s="7">
        <v>512</v>
      </c>
      <c r="B511" s="8" t="s">
        <v>137</v>
      </c>
      <c r="C511" s="8" t="s">
        <v>274</v>
      </c>
      <c r="D511" s="7" t="s">
        <v>732</v>
      </c>
      <c r="E511" s="8" t="s">
        <v>744</v>
      </c>
      <c r="F511" s="9">
        <v>4</v>
      </c>
      <c r="G511" s="10" t="s">
        <v>19</v>
      </c>
      <c r="H511" s="8" t="s">
        <v>26</v>
      </c>
      <c r="I511" s="8" t="s">
        <v>27</v>
      </c>
      <c r="J511" s="8" t="s">
        <v>134</v>
      </c>
      <c r="K511" s="8"/>
      <c r="L511" s="11">
        <v>2.5</v>
      </c>
      <c r="M511" s="11">
        <v>2.4</v>
      </c>
      <c r="N511" s="11">
        <v>2.5</v>
      </c>
      <c r="O511" s="11">
        <f>L511*4</f>
        <v>10</v>
      </c>
      <c r="P511" s="11">
        <f>M511*4</f>
        <v>9.6</v>
      </c>
      <c r="Q511" s="11">
        <f>N511*4</f>
        <v>10</v>
      </c>
      <c r="R511" s="12">
        <f>2/3*3.14*(Q511/2)^3</f>
        <v>261.66666666666669</v>
      </c>
      <c r="S511" s="12">
        <f>R511/1000</f>
        <v>0.26166666666666666</v>
      </c>
    </row>
    <row r="512" spans="1:19" x14ac:dyDescent="0.25">
      <c r="A512" s="7">
        <v>513</v>
      </c>
      <c r="B512" s="8" t="s">
        <v>137</v>
      </c>
      <c r="C512" s="8" t="s">
        <v>275</v>
      </c>
      <c r="D512" s="7" t="s">
        <v>732</v>
      </c>
      <c r="E512" s="8" t="s">
        <v>744</v>
      </c>
      <c r="F512" s="9">
        <v>4</v>
      </c>
      <c r="G512" s="10" t="s">
        <v>19</v>
      </c>
      <c r="H512" s="8" t="s">
        <v>154</v>
      </c>
      <c r="I512" s="8" t="s">
        <v>155</v>
      </c>
      <c r="J512" s="8" t="s">
        <v>134</v>
      </c>
      <c r="K512" s="8"/>
      <c r="L512" s="11">
        <v>2.9</v>
      </c>
      <c r="M512" s="11">
        <v>2.8</v>
      </c>
      <c r="N512" s="11">
        <v>2.9</v>
      </c>
      <c r="O512" s="11">
        <f>L512*4</f>
        <v>11.6</v>
      </c>
      <c r="P512" s="11">
        <f>M512*4</f>
        <v>11.2</v>
      </c>
      <c r="Q512" s="11">
        <f>N512*4</f>
        <v>11.6</v>
      </c>
      <c r="R512" s="12">
        <f>2/3*3.14*(Q512/2)^3</f>
        <v>408.43445333333329</v>
      </c>
      <c r="S512" s="12">
        <f>R512/1000</f>
        <v>0.40843445333333328</v>
      </c>
    </row>
    <row r="513" spans="1:19" x14ac:dyDescent="0.25">
      <c r="A513" s="7">
        <v>514</v>
      </c>
      <c r="B513" s="8" t="s">
        <v>137</v>
      </c>
      <c r="C513" s="8" t="s">
        <v>276</v>
      </c>
      <c r="D513" s="7" t="s">
        <v>732</v>
      </c>
      <c r="E513" s="8" t="s">
        <v>744</v>
      </c>
      <c r="F513" s="9">
        <v>4</v>
      </c>
      <c r="G513" s="10" t="s">
        <v>19</v>
      </c>
      <c r="H513" s="8" t="s">
        <v>154</v>
      </c>
      <c r="I513" s="8" t="s">
        <v>155</v>
      </c>
      <c r="J513" s="8" t="s">
        <v>134</v>
      </c>
      <c r="K513" s="8"/>
      <c r="L513" s="11">
        <v>2.8</v>
      </c>
      <c r="M513" s="11">
        <v>2.8</v>
      </c>
      <c r="N513" s="11">
        <v>2.8</v>
      </c>
      <c r="O513" s="11">
        <f>L513*4</f>
        <v>11.2</v>
      </c>
      <c r="P513" s="11">
        <f>M513*4</f>
        <v>11.2</v>
      </c>
      <c r="Q513" s="11">
        <f>N513*4</f>
        <v>11.2</v>
      </c>
      <c r="R513" s="12">
        <f>2/3*3.14*(Q513/2)^3</f>
        <v>367.62282666666658</v>
      </c>
      <c r="S513" s="12">
        <f>R513/1000</f>
        <v>0.36762282666666657</v>
      </c>
    </row>
    <row r="514" spans="1:19" x14ac:dyDescent="0.25">
      <c r="A514" s="7">
        <v>515</v>
      </c>
      <c r="B514" s="8" t="s">
        <v>137</v>
      </c>
      <c r="C514" s="8" t="s">
        <v>455</v>
      </c>
      <c r="D514" s="7" t="s">
        <v>733</v>
      </c>
      <c r="E514" s="8" t="s">
        <v>744</v>
      </c>
      <c r="F514" s="9">
        <v>5</v>
      </c>
      <c r="G514" s="10" t="s">
        <v>19</v>
      </c>
      <c r="H514" s="8" t="s">
        <v>154</v>
      </c>
      <c r="I514" s="8" t="s">
        <v>155</v>
      </c>
      <c r="J514" s="8" t="s">
        <v>28</v>
      </c>
      <c r="K514" s="8"/>
      <c r="L514" s="11">
        <v>2.8</v>
      </c>
      <c r="M514" s="11">
        <v>2.5</v>
      </c>
      <c r="N514" s="11">
        <v>3.1</v>
      </c>
      <c r="O514" s="11">
        <f>L514*4</f>
        <v>11.2</v>
      </c>
      <c r="P514" s="11">
        <f>M514*4</f>
        <v>10</v>
      </c>
      <c r="Q514" s="11">
        <f>N514*4</f>
        <v>12.4</v>
      </c>
      <c r="R514" s="12">
        <f>(4/3)*3.14*(Q514/2)^3</f>
        <v>997.79989333333344</v>
      </c>
      <c r="S514" s="12">
        <f>R514/1000</f>
        <v>0.99779989333333341</v>
      </c>
    </row>
    <row r="515" spans="1:19" x14ac:dyDescent="0.25">
      <c r="A515" s="7">
        <v>516</v>
      </c>
      <c r="B515" s="8" t="s">
        <v>137</v>
      </c>
      <c r="C515" s="8" t="s">
        <v>277</v>
      </c>
      <c r="D515" s="7" t="s">
        <v>733</v>
      </c>
      <c r="E515" s="8" t="s">
        <v>744</v>
      </c>
      <c r="F515" s="9">
        <v>4</v>
      </c>
      <c r="G515" s="10" t="s">
        <v>19</v>
      </c>
      <c r="H515" s="8" t="s">
        <v>154</v>
      </c>
      <c r="I515" s="8" t="s">
        <v>155</v>
      </c>
      <c r="J515" s="8" t="s">
        <v>28</v>
      </c>
      <c r="K515" s="8"/>
      <c r="L515" s="11">
        <v>2.8</v>
      </c>
      <c r="M515" s="11">
        <v>2.6</v>
      </c>
      <c r="N515" s="11">
        <v>2.8</v>
      </c>
      <c r="O515" s="11">
        <f>L515*4</f>
        <v>11.2</v>
      </c>
      <c r="P515" s="11">
        <f>M515*4</f>
        <v>10.4</v>
      </c>
      <c r="Q515" s="11">
        <f>N515*4</f>
        <v>11.2</v>
      </c>
      <c r="R515" s="12">
        <f>2/3*3.14*(Q515/2)^3</f>
        <v>367.62282666666658</v>
      </c>
      <c r="S515" s="12">
        <f>R515/1000</f>
        <v>0.36762282666666657</v>
      </c>
    </row>
    <row r="516" spans="1:19" x14ac:dyDescent="0.25">
      <c r="A516" s="7">
        <v>517</v>
      </c>
      <c r="B516" s="8" t="s">
        <v>137</v>
      </c>
      <c r="C516" s="8" t="s">
        <v>278</v>
      </c>
      <c r="D516" s="7" t="s">
        <v>733</v>
      </c>
      <c r="E516" s="8" t="s">
        <v>744</v>
      </c>
      <c r="F516" s="9">
        <v>4</v>
      </c>
      <c r="G516" s="10" t="s">
        <v>19</v>
      </c>
      <c r="H516" s="8" t="s">
        <v>154</v>
      </c>
      <c r="I516" s="8" t="s">
        <v>155</v>
      </c>
      <c r="J516" s="8" t="s">
        <v>28</v>
      </c>
      <c r="K516" s="8"/>
      <c r="L516" s="11">
        <v>3.2</v>
      </c>
      <c r="M516" s="11">
        <v>2.5</v>
      </c>
      <c r="N516" s="11">
        <v>3.2</v>
      </c>
      <c r="O516" s="11">
        <f>L516*4</f>
        <v>12.8</v>
      </c>
      <c r="P516" s="11">
        <f>M516*4</f>
        <v>10</v>
      </c>
      <c r="Q516" s="11">
        <f>N516*4</f>
        <v>12.8</v>
      </c>
      <c r="R516" s="12">
        <f>2/3*3.14*(Q516/2)^3</f>
        <v>548.75477333333345</v>
      </c>
      <c r="S516" s="12">
        <f>R516/1000</f>
        <v>0.54875477333333345</v>
      </c>
    </row>
    <row r="517" spans="1:19" x14ac:dyDescent="0.25">
      <c r="A517" s="7">
        <v>518</v>
      </c>
      <c r="B517" s="8" t="s">
        <v>137</v>
      </c>
      <c r="C517" s="8" t="s">
        <v>456</v>
      </c>
      <c r="D517" s="7" t="s">
        <v>733</v>
      </c>
      <c r="E517" s="8" t="s">
        <v>744</v>
      </c>
      <c r="F517" s="9">
        <v>5</v>
      </c>
      <c r="G517" s="10" t="s">
        <v>19</v>
      </c>
      <c r="H517" s="8" t="s">
        <v>154</v>
      </c>
      <c r="I517" s="8" t="s">
        <v>155</v>
      </c>
      <c r="J517" s="8" t="s">
        <v>28</v>
      </c>
      <c r="K517" s="8"/>
      <c r="L517" s="11">
        <v>2.7</v>
      </c>
      <c r="M517" s="11">
        <v>2.1</v>
      </c>
      <c r="N517" s="11">
        <v>3</v>
      </c>
      <c r="O517" s="11">
        <f>L517*4</f>
        <v>10.8</v>
      </c>
      <c r="P517" s="11">
        <f>M517*4</f>
        <v>8.4</v>
      </c>
      <c r="Q517" s="11">
        <f>N517*4</f>
        <v>12</v>
      </c>
      <c r="R517" s="12">
        <f>(4/3)*3.14*(Q517/2)^3</f>
        <v>904.31999999999994</v>
      </c>
      <c r="S517" s="12">
        <f>R517/1000</f>
        <v>0.9043199999999999</v>
      </c>
    </row>
    <row r="518" spans="1:19" x14ac:dyDescent="0.25">
      <c r="A518" s="7">
        <v>519</v>
      </c>
      <c r="B518" s="8" t="s">
        <v>137</v>
      </c>
      <c r="C518" s="8" t="s">
        <v>457</v>
      </c>
      <c r="D518" s="7" t="s">
        <v>733</v>
      </c>
      <c r="E518" s="8" t="s">
        <v>744</v>
      </c>
      <c r="F518" s="9">
        <v>5</v>
      </c>
      <c r="G518" s="10" t="s">
        <v>19</v>
      </c>
      <c r="H518" s="8" t="s">
        <v>154</v>
      </c>
      <c r="I518" s="8" t="s">
        <v>155</v>
      </c>
      <c r="J518" s="8" t="s">
        <v>28</v>
      </c>
      <c r="K518" s="8"/>
      <c r="L518" s="11">
        <v>2.8</v>
      </c>
      <c r="M518" s="11">
        <v>2.5</v>
      </c>
      <c r="N518" s="11">
        <v>3.1</v>
      </c>
      <c r="O518" s="11">
        <f>L518*4</f>
        <v>11.2</v>
      </c>
      <c r="P518" s="11">
        <f>M518*4</f>
        <v>10</v>
      </c>
      <c r="Q518" s="11">
        <f>N518*4</f>
        <v>12.4</v>
      </c>
      <c r="R518" s="12">
        <f>(4/3)*3.14*(Q518/2)^3</f>
        <v>997.79989333333344</v>
      </c>
      <c r="S518" s="12">
        <f>R518/1000</f>
        <v>0.99779989333333341</v>
      </c>
    </row>
    <row r="519" spans="1:19" x14ac:dyDescent="0.25">
      <c r="A519" s="7">
        <v>520</v>
      </c>
      <c r="B519" s="8" t="s">
        <v>137</v>
      </c>
      <c r="C519" s="8" t="s">
        <v>458</v>
      </c>
      <c r="D519" s="7" t="s">
        <v>733</v>
      </c>
      <c r="E519" s="8" t="s">
        <v>744</v>
      </c>
      <c r="F519" s="9">
        <v>5</v>
      </c>
      <c r="G519" s="10" t="s">
        <v>25</v>
      </c>
      <c r="H519" s="8" t="s">
        <v>154</v>
      </c>
      <c r="I519" s="8" t="s">
        <v>155</v>
      </c>
      <c r="J519" s="8" t="s">
        <v>28</v>
      </c>
      <c r="K519" s="8"/>
      <c r="L519" s="11">
        <v>2.8</v>
      </c>
      <c r="M519" s="11">
        <v>2.4</v>
      </c>
      <c r="N519" s="11">
        <v>3.2</v>
      </c>
      <c r="O519" s="11">
        <f>L519*4</f>
        <v>11.2</v>
      </c>
      <c r="P519" s="11">
        <f>M519*4</f>
        <v>9.6</v>
      </c>
      <c r="Q519" s="11">
        <f>N519*4</f>
        <v>12.8</v>
      </c>
      <c r="R519" s="12">
        <f>(4/3)*3.14*(Q519/2)^3</f>
        <v>1097.5095466666669</v>
      </c>
      <c r="S519" s="12">
        <f>R519/1000</f>
        <v>1.0975095466666669</v>
      </c>
    </row>
    <row r="520" spans="1:19" x14ac:dyDescent="0.25">
      <c r="A520" s="7">
        <v>521</v>
      </c>
      <c r="B520" s="8" t="s">
        <v>137</v>
      </c>
      <c r="C520" s="8" t="s">
        <v>459</v>
      </c>
      <c r="D520" s="7" t="s">
        <v>733</v>
      </c>
      <c r="E520" s="8" t="s">
        <v>744</v>
      </c>
      <c r="F520" s="9">
        <v>5</v>
      </c>
      <c r="G520" s="10" t="s">
        <v>19</v>
      </c>
      <c r="H520" s="8" t="s">
        <v>154</v>
      </c>
      <c r="I520" s="8" t="s">
        <v>155</v>
      </c>
      <c r="J520" s="8" t="s">
        <v>28</v>
      </c>
      <c r="K520" s="8"/>
      <c r="L520" s="11">
        <v>2.6</v>
      </c>
      <c r="M520" s="11">
        <v>2.2999999999999998</v>
      </c>
      <c r="N520" s="11">
        <v>3.1</v>
      </c>
      <c r="O520" s="11">
        <f>L520*4</f>
        <v>10.4</v>
      </c>
      <c r="P520" s="11">
        <f>M520*4</f>
        <v>9.1999999999999993</v>
      </c>
      <c r="Q520" s="11">
        <f>N520*4</f>
        <v>12.4</v>
      </c>
      <c r="R520" s="12">
        <f>(4/3)*3.14*(Q520/2)^3</f>
        <v>997.79989333333344</v>
      </c>
      <c r="S520" s="12">
        <f>R520/1000</f>
        <v>0.99779989333333341</v>
      </c>
    </row>
    <row r="521" spans="1:19" x14ac:dyDescent="0.25">
      <c r="A521" s="7">
        <v>522</v>
      </c>
      <c r="B521" s="8" t="s">
        <v>137</v>
      </c>
      <c r="C521" s="8" t="s">
        <v>460</v>
      </c>
      <c r="D521" s="7" t="s">
        <v>733</v>
      </c>
      <c r="E521" s="8" t="s">
        <v>744</v>
      </c>
      <c r="F521" s="9">
        <v>5</v>
      </c>
      <c r="G521" s="10" t="s">
        <v>25</v>
      </c>
      <c r="H521" s="8" t="s">
        <v>154</v>
      </c>
      <c r="I521" s="8" t="s">
        <v>155</v>
      </c>
      <c r="J521" s="8" t="s">
        <v>28</v>
      </c>
      <c r="K521" s="8"/>
      <c r="L521" s="11">
        <v>2.9</v>
      </c>
      <c r="M521" s="11">
        <v>2.2999999999999998</v>
      </c>
      <c r="N521" s="11">
        <v>3.2</v>
      </c>
      <c r="O521" s="11">
        <f>L521*4</f>
        <v>11.6</v>
      </c>
      <c r="P521" s="11">
        <f>M521*4</f>
        <v>9.1999999999999993</v>
      </c>
      <c r="Q521" s="11">
        <f>N521*4</f>
        <v>12.8</v>
      </c>
      <c r="R521" s="12">
        <f>(4/3)*3.14*(Q521/2)^3</f>
        <v>1097.5095466666669</v>
      </c>
      <c r="S521" s="12">
        <f>R521/1000</f>
        <v>1.0975095466666669</v>
      </c>
    </row>
    <row r="522" spans="1:19" x14ac:dyDescent="0.25">
      <c r="A522" s="7">
        <v>523</v>
      </c>
      <c r="B522" s="8" t="s">
        <v>137</v>
      </c>
      <c r="C522" s="8" t="s">
        <v>461</v>
      </c>
      <c r="D522" s="7" t="s">
        <v>733</v>
      </c>
      <c r="E522" s="8" t="s">
        <v>744</v>
      </c>
      <c r="F522" s="9">
        <v>5</v>
      </c>
      <c r="G522" s="10" t="s">
        <v>19</v>
      </c>
      <c r="H522" s="8" t="s">
        <v>54</v>
      </c>
      <c r="I522" s="8" t="s">
        <v>55</v>
      </c>
      <c r="J522" s="8" t="s">
        <v>28</v>
      </c>
      <c r="K522" s="8"/>
      <c r="L522" s="11">
        <v>2.6</v>
      </c>
      <c r="M522" s="11">
        <v>2.4</v>
      </c>
      <c r="N522" s="11">
        <v>3</v>
      </c>
      <c r="O522" s="11">
        <f>L522*4</f>
        <v>10.4</v>
      </c>
      <c r="P522" s="11">
        <f>M522*4</f>
        <v>9.6</v>
      </c>
      <c r="Q522" s="11">
        <f>N522*4</f>
        <v>12</v>
      </c>
      <c r="R522" s="12">
        <f>(4/3)*3.14*(Q522/2)^3</f>
        <v>904.31999999999994</v>
      </c>
      <c r="S522" s="12">
        <f>R522/1000</f>
        <v>0.9043199999999999</v>
      </c>
    </row>
    <row r="523" spans="1:19" x14ac:dyDescent="0.25">
      <c r="A523" s="7">
        <v>524</v>
      </c>
      <c r="B523" s="8" t="s">
        <v>137</v>
      </c>
      <c r="C523" s="8" t="s">
        <v>462</v>
      </c>
      <c r="D523" s="7" t="s">
        <v>733</v>
      </c>
      <c r="E523" s="8" t="s">
        <v>744</v>
      </c>
      <c r="F523" s="9">
        <v>5</v>
      </c>
      <c r="G523" s="10" t="s">
        <v>25</v>
      </c>
      <c r="H523" s="8" t="s">
        <v>54</v>
      </c>
      <c r="I523" s="8" t="s">
        <v>55</v>
      </c>
      <c r="J523" s="8" t="s">
        <v>28</v>
      </c>
      <c r="K523" s="8"/>
      <c r="L523" s="11">
        <v>2.7</v>
      </c>
      <c r="M523" s="11">
        <v>2.4</v>
      </c>
      <c r="N523" s="11">
        <v>3.2</v>
      </c>
      <c r="O523" s="11">
        <f>L523*4</f>
        <v>10.8</v>
      </c>
      <c r="P523" s="11">
        <f>M523*4</f>
        <v>9.6</v>
      </c>
      <c r="Q523" s="11">
        <f>N523*4</f>
        <v>12.8</v>
      </c>
      <c r="R523" s="12">
        <f>(4/3)*3.14*(Q523/2)^3</f>
        <v>1097.5095466666669</v>
      </c>
      <c r="S523" s="12">
        <f>R523/1000</f>
        <v>1.0975095466666669</v>
      </c>
    </row>
    <row r="524" spans="1:19" x14ac:dyDescent="0.25">
      <c r="A524" s="7">
        <v>525</v>
      </c>
      <c r="B524" s="8" t="s">
        <v>137</v>
      </c>
      <c r="C524" s="8" t="s">
        <v>463</v>
      </c>
      <c r="D524" s="7" t="s">
        <v>733</v>
      </c>
      <c r="E524" s="8" t="s">
        <v>744</v>
      </c>
      <c r="F524" s="9">
        <v>5</v>
      </c>
      <c r="G524" s="10" t="s">
        <v>25</v>
      </c>
      <c r="H524" s="8" t="s">
        <v>54</v>
      </c>
      <c r="I524" s="8" t="s">
        <v>55</v>
      </c>
      <c r="J524" s="8" t="s">
        <v>28</v>
      </c>
      <c r="K524" s="8"/>
      <c r="L524" s="11">
        <v>3</v>
      </c>
      <c r="M524" s="11">
        <v>2.6</v>
      </c>
      <c r="N524" s="11">
        <v>3.5</v>
      </c>
      <c r="O524" s="11">
        <f>L524*4</f>
        <v>12</v>
      </c>
      <c r="P524" s="11">
        <f>M524*4</f>
        <v>10.4</v>
      </c>
      <c r="Q524" s="11">
        <f>N524*4</f>
        <v>14</v>
      </c>
      <c r="R524" s="12">
        <f>(4/3)*3.14*(Q524/2)^3</f>
        <v>1436.0266666666666</v>
      </c>
      <c r="S524" s="12">
        <f>R524/1000</f>
        <v>1.4360266666666666</v>
      </c>
    </row>
    <row r="525" spans="1:19" x14ac:dyDescent="0.25">
      <c r="A525" s="7">
        <v>526</v>
      </c>
      <c r="B525" s="8" t="s">
        <v>137</v>
      </c>
      <c r="C525" s="8" t="s">
        <v>464</v>
      </c>
      <c r="D525" s="7" t="s">
        <v>733</v>
      </c>
      <c r="E525" s="8" t="s">
        <v>744</v>
      </c>
      <c r="F525" s="9">
        <v>5</v>
      </c>
      <c r="G525" s="10" t="s">
        <v>25</v>
      </c>
      <c r="H525" s="8" t="s">
        <v>154</v>
      </c>
      <c r="I525" s="8" t="s">
        <v>155</v>
      </c>
      <c r="J525" s="8" t="s">
        <v>28</v>
      </c>
      <c r="K525" s="8"/>
      <c r="L525" s="11">
        <v>2.4</v>
      </c>
      <c r="M525" s="11">
        <v>2.5</v>
      </c>
      <c r="N525" s="11">
        <v>3.2</v>
      </c>
      <c r="O525" s="11">
        <f>L525*4</f>
        <v>9.6</v>
      </c>
      <c r="P525" s="11">
        <f>M525*4</f>
        <v>10</v>
      </c>
      <c r="Q525" s="11">
        <f>N525*4</f>
        <v>12.8</v>
      </c>
      <c r="R525" s="12">
        <f>(4/3)*3.14*(Q525/2)^3</f>
        <v>1097.5095466666669</v>
      </c>
      <c r="S525" s="12">
        <f>R525/1000</f>
        <v>1.0975095466666669</v>
      </c>
    </row>
    <row r="526" spans="1:19" x14ac:dyDescent="0.25">
      <c r="A526" s="7">
        <v>527</v>
      </c>
      <c r="B526" s="8" t="s">
        <v>137</v>
      </c>
      <c r="C526" s="8" t="s">
        <v>465</v>
      </c>
      <c r="D526" s="7" t="s">
        <v>733</v>
      </c>
      <c r="E526" s="8" t="s">
        <v>744</v>
      </c>
      <c r="F526" s="9">
        <v>5</v>
      </c>
      <c r="G526" s="10" t="s">
        <v>25</v>
      </c>
      <c r="H526" s="8" t="s">
        <v>154</v>
      </c>
      <c r="I526" s="8" t="s">
        <v>155</v>
      </c>
      <c r="J526" s="8" t="s">
        <v>134</v>
      </c>
      <c r="K526" s="8"/>
      <c r="L526" s="11">
        <v>2.8</v>
      </c>
      <c r="M526" s="11">
        <v>0</v>
      </c>
      <c r="N526" s="11">
        <v>3.5</v>
      </c>
      <c r="O526" s="11">
        <f>L526*4</f>
        <v>11.2</v>
      </c>
      <c r="P526" s="11">
        <f>M526*4</f>
        <v>0</v>
      </c>
      <c r="Q526" s="11">
        <f>N526*4</f>
        <v>14</v>
      </c>
      <c r="R526" s="12">
        <f>(4/3)*3.14*(Q526/2)^3</f>
        <v>1436.0266666666666</v>
      </c>
      <c r="S526" s="12">
        <f>R526/1000</f>
        <v>1.4360266666666666</v>
      </c>
    </row>
    <row r="527" spans="1:19" x14ac:dyDescent="0.25">
      <c r="A527" s="7">
        <v>528</v>
      </c>
      <c r="B527" s="8" t="s">
        <v>137</v>
      </c>
      <c r="C527" s="8" t="s">
        <v>466</v>
      </c>
      <c r="D527" s="7" t="s">
        <v>733</v>
      </c>
      <c r="E527" s="8" t="s">
        <v>744</v>
      </c>
      <c r="F527" s="9">
        <v>5</v>
      </c>
      <c r="G527" s="10" t="s">
        <v>25</v>
      </c>
      <c r="H527" s="8" t="s">
        <v>20</v>
      </c>
      <c r="I527" s="8" t="s">
        <v>21</v>
      </c>
      <c r="J527" s="8" t="s">
        <v>467</v>
      </c>
      <c r="K527" s="8"/>
      <c r="L527" s="11">
        <v>2.5</v>
      </c>
      <c r="M527" s="11">
        <v>2.7</v>
      </c>
      <c r="N527" s="11">
        <v>3.3</v>
      </c>
      <c r="O527" s="11">
        <f>L527*4</f>
        <v>10</v>
      </c>
      <c r="P527" s="11">
        <f>M527*4</f>
        <v>10.8</v>
      </c>
      <c r="Q527" s="11">
        <f>N527*4</f>
        <v>13.2</v>
      </c>
      <c r="R527" s="12">
        <f>(4/3)*3.14*(Q527/2)^3</f>
        <v>1203.6499199999998</v>
      </c>
      <c r="S527" s="12">
        <f>R527/1000</f>
        <v>1.2036499199999999</v>
      </c>
    </row>
    <row r="528" spans="1:19" x14ac:dyDescent="0.25">
      <c r="A528" s="7">
        <v>529</v>
      </c>
      <c r="B528" s="8" t="s">
        <v>137</v>
      </c>
      <c r="C528" s="8" t="s">
        <v>468</v>
      </c>
      <c r="D528" s="7" t="s">
        <v>733</v>
      </c>
      <c r="E528" s="8" t="s">
        <v>744</v>
      </c>
      <c r="F528" s="9">
        <v>5</v>
      </c>
      <c r="G528" s="10" t="s">
        <v>19</v>
      </c>
      <c r="H528" s="8" t="s">
        <v>154</v>
      </c>
      <c r="I528" s="8" t="s">
        <v>155</v>
      </c>
      <c r="J528" s="8" t="s">
        <v>467</v>
      </c>
      <c r="K528" s="8"/>
      <c r="L528" s="11">
        <v>2.5</v>
      </c>
      <c r="M528" s="11">
        <v>2.6</v>
      </c>
      <c r="N528" s="11">
        <v>3</v>
      </c>
      <c r="O528" s="11">
        <f>L528*4</f>
        <v>10</v>
      </c>
      <c r="P528" s="11">
        <f>M528*4</f>
        <v>10.4</v>
      </c>
      <c r="Q528" s="11">
        <f>N528*4</f>
        <v>12</v>
      </c>
      <c r="R528" s="12">
        <f>(4/3)*3.14*(Q528/2)^3</f>
        <v>904.31999999999994</v>
      </c>
      <c r="S528" s="12">
        <f>R528/1000</f>
        <v>0.9043199999999999</v>
      </c>
    </row>
    <row r="529" spans="1:19" x14ac:dyDescent="0.25">
      <c r="A529" s="7">
        <v>530</v>
      </c>
      <c r="B529" s="8" t="s">
        <v>137</v>
      </c>
      <c r="C529" s="8" t="s">
        <v>469</v>
      </c>
      <c r="D529" s="7" t="s">
        <v>733</v>
      </c>
      <c r="E529" s="8" t="s">
        <v>744</v>
      </c>
      <c r="F529" s="9">
        <v>5</v>
      </c>
      <c r="G529" s="10" t="s">
        <v>19</v>
      </c>
      <c r="H529" s="8" t="s">
        <v>107</v>
      </c>
      <c r="I529" s="8" t="s">
        <v>107</v>
      </c>
      <c r="J529" s="8" t="s">
        <v>134</v>
      </c>
      <c r="K529" s="8"/>
      <c r="L529" s="11">
        <v>2.4</v>
      </c>
      <c r="M529" s="11">
        <v>2</v>
      </c>
      <c r="N529" s="11">
        <v>3.1</v>
      </c>
      <c r="O529" s="11">
        <f>L529*4</f>
        <v>9.6</v>
      </c>
      <c r="P529" s="11">
        <f>M529*4</f>
        <v>8</v>
      </c>
      <c r="Q529" s="11">
        <f>N529*4</f>
        <v>12.4</v>
      </c>
      <c r="R529" s="12">
        <f>(4/3)*3.14*(Q529/2)^3</f>
        <v>997.79989333333344</v>
      </c>
      <c r="S529" s="12">
        <f>R529/1000</f>
        <v>0.99779989333333341</v>
      </c>
    </row>
    <row r="530" spans="1:19" x14ac:dyDescent="0.25">
      <c r="A530" s="7">
        <v>531</v>
      </c>
      <c r="B530" s="8" t="s">
        <v>137</v>
      </c>
      <c r="C530" s="8" t="s">
        <v>470</v>
      </c>
      <c r="D530" s="7" t="s">
        <v>733</v>
      </c>
      <c r="E530" s="8" t="s">
        <v>744</v>
      </c>
      <c r="F530" s="9">
        <v>5</v>
      </c>
      <c r="G530" s="10" t="s">
        <v>19</v>
      </c>
      <c r="H530" s="8" t="s">
        <v>26</v>
      </c>
      <c r="I530" s="8" t="s">
        <v>27</v>
      </c>
      <c r="J530" s="8" t="s">
        <v>28</v>
      </c>
      <c r="K530" s="8"/>
      <c r="L530" s="11">
        <v>1.8</v>
      </c>
      <c r="M530" s="11">
        <v>1.7</v>
      </c>
      <c r="N530" s="11">
        <v>2.2999999999999998</v>
      </c>
      <c r="O530" s="11">
        <f>L530*4</f>
        <v>7.2</v>
      </c>
      <c r="P530" s="11">
        <f>M530*4</f>
        <v>6.8</v>
      </c>
      <c r="Q530" s="11">
        <f>N530*4</f>
        <v>9.1999999999999993</v>
      </c>
      <c r="R530" s="12">
        <f>(4/3)*3.14*(Q530/2)^3</f>
        <v>407.51338666666652</v>
      </c>
      <c r="S530" s="12">
        <f>R530/1000</f>
        <v>0.40751338666666653</v>
      </c>
    </row>
    <row r="531" spans="1:19" x14ac:dyDescent="0.25">
      <c r="A531" s="7">
        <v>532</v>
      </c>
      <c r="B531" s="8" t="s">
        <v>137</v>
      </c>
      <c r="C531" s="8" t="s">
        <v>471</v>
      </c>
      <c r="D531" s="7" t="s">
        <v>733</v>
      </c>
      <c r="E531" s="8" t="s">
        <v>744</v>
      </c>
      <c r="F531" s="9">
        <v>5</v>
      </c>
      <c r="G531" s="10" t="s">
        <v>25</v>
      </c>
      <c r="H531" s="8" t="s">
        <v>154</v>
      </c>
      <c r="I531" s="8" t="s">
        <v>155</v>
      </c>
      <c r="J531" s="8"/>
      <c r="K531" s="8"/>
      <c r="L531" s="11">
        <v>2.7</v>
      </c>
      <c r="M531" s="11">
        <v>2.4</v>
      </c>
      <c r="N531" s="11">
        <v>3.2</v>
      </c>
      <c r="O531" s="11">
        <f>L531*4</f>
        <v>10.8</v>
      </c>
      <c r="P531" s="11">
        <f>M531*4</f>
        <v>9.6</v>
      </c>
      <c r="Q531" s="11">
        <f>N531*4</f>
        <v>12.8</v>
      </c>
      <c r="R531" s="12">
        <f>(4/3)*3.14*(Q531/2)^3</f>
        <v>1097.5095466666669</v>
      </c>
      <c r="S531" s="12">
        <f>R531/1000</f>
        <v>1.0975095466666669</v>
      </c>
    </row>
    <row r="532" spans="1:19" x14ac:dyDescent="0.25">
      <c r="A532" s="7">
        <v>533</v>
      </c>
      <c r="B532" s="8" t="s">
        <v>137</v>
      </c>
      <c r="C532" s="8" t="s">
        <v>472</v>
      </c>
      <c r="D532" s="7" t="s">
        <v>733</v>
      </c>
      <c r="E532" s="8" t="s">
        <v>744</v>
      </c>
      <c r="F532" s="9">
        <v>5</v>
      </c>
      <c r="G532" s="10" t="s">
        <v>25</v>
      </c>
      <c r="H532" s="8" t="s">
        <v>154</v>
      </c>
      <c r="I532" s="8" t="s">
        <v>155</v>
      </c>
      <c r="J532" s="8" t="s">
        <v>28</v>
      </c>
      <c r="K532" s="8"/>
      <c r="L532" s="11">
        <v>3.3</v>
      </c>
      <c r="M532" s="11">
        <v>2.4</v>
      </c>
      <c r="N532" s="11">
        <v>3.5</v>
      </c>
      <c r="O532" s="11">
        <f>L532*4</f>
        <v>13.2</v>
      </c>
      <c r="P532" s="11">
        <f>M532*4</f>
        <v>9.6</v>
      </c>
      <c r="Q532" s="11">
        <f>N532*4</f>
        <v>14</v>
      </c>
      <c r="R532" s="12">
        <f>(4/3)*3.14*(Q532/2)^3</f>
        <v>1436.0266666666666</v>
      </c>
      <c r="S532" s="12">
        <f>R532/1000</f>
        <v>1.4360266666666666</v>
      </c>
    </row>
    <row r="533" spans="1:19" x14ac:dyDescent="0.25">
      <c r="A533" s="7">
        <v>534</v>
      </c>
      <c r="B533" s="8" t="s">
        <v>137</v>
      </c>
      <c r="C533" s="8" t="s">
        <v>473</v>
      </c>
      <c r="D533" s="7" t="s">
        <v>733</v>
      </c>
      <c r="E533" s="8" t="s">
        <v>744</v>
      </c>
      <c r="F533" s="9">
        <v>5</v>
      </c>
      <c r="G533" s="10" t="s">
        <v>25</v>
      </c>
      <c r="H533" s="8" t="s">
        <v>154</v>
      </c>
      <c r="I533" s="8" t="s">
        <v>155</v>
      </c>
      <c r="J533" s="8" t="s">
        <v>28</v>
      </c>
      <c r="K533" s="8"/>
      <c r="L533" s="11">
        <v>3.2</v>
      </c>
      <c r="M533" s="11">
        <v>2.8</v>
      </c>
      <c r="N533" s="11">
        <v>3.7</v>
      </c>
      <c r="O533" s="11">
        <f>L533*4</f>
        <v>12.8</v>
      </c>
      <c r="P533" s="11">
        <f>M533*4</f>
        <v>11.2</v>
      </c>
      <c r="Q533" s="11">
        <f>N533*4</f>
        <v>14.8</v>
      </c>
      <c r="R533" s="12">
        <f>(4/3)*3.14*(Q533/2)^3</f>
        <v>1696.5378133333336</v>
      </c>
      <c r="S533" s="12">
        <f>R533/1000</f>
        <v>1.6965378133333335</v>
      </c>
    </row>
    <row r="534" spans="1:19" x14ac:dyDescent="0.25">
      <c r="A534" s="7">
        <v>535</v>
      </c>
      <c r="B534" s="8" t="s">
        <v>137</v>
      </c>
      <c r="C534" s="8" t="s">
        <v>474</v>
      </c>
      <c r="D534" s="7" t="s">
        <v>733</v>
      </c>
      <c r="E534" s="8" t="s">
        <v>744</v>
      </c>
      <c r="F534" s="9">
        <v>5</v>
      </c>
      <c r="G534" s="10" t="s">
        <v>19</v>
      </c>
      <c r="H534" s="8" t="s">
        <v>26</v>
      </c>
      <c r="I534" s="8" t="s">
        <v>27</v>
      </c>
      <c r="J534" s="8" t="s">
        <v>467</v>
      </c>
      <c r="K534" s="8"/>
      <c r="L534" s="11">
        <v>1.8</v>
      </c>
      <c r="M534" s="11">
        <v>1.9</v>
      </c>
      <c r="N534" s="11">
        <v>2.6</v>
      </c>
      <c r="O534" s="11">
        <f>L534*4</f>
        <v>7.2</v>
      </c>
      <c r="P534" s="11">
        <f>M534*4</f>
        <v>7.6</v>
      </c>
      <c r="Q534" s="11">
        <f>N534*4</f>
        <v>10.4</v>
      </c>
      <c r="R534" s="12">
        <f>(4/3)*3.14*(Q534/2)^3</f>
        <v>588.67882666666674</v>
      </c>
      <c r="S534" s="12">
        <f>R534/1000</f>
        <v>0.58867882666666671</v>
      </c>
    </row>
    <row r="535" spans="1:19" x14ac:dyDescent="0.25">
      <c r="A535" s="7">
        <v>536</v>
      </c>
      <c r="B535" s="8" t="s">
        <v>137</v>
      </c>
      <c r="C535" s="8" t="s">
        <v>475</v>
      </c>
      <c r="D535" s="7" t="s">
        <v>733</v>
      </c>
      <c r="E535" s="8" t="s">
        <v>744</v>
      </c>
      <c r="F535" s="9">
        <v>5</v>
      </c>
      <c r="G535" s="10" t="s">
        <v>25</v>
      </c>
      <c r="H535" s="8" t="s">
        <v>154</v>
      </c>
      <c r="I535" s="8" t="s">
        <v>155</v>
      </c>
      <c r="J535" s="8" t="s">
        <v>22</v>
      </c>
      <c r="K535" s="8"/>
      <c r="L535" s="11">
        <v>2.8</v>
      </c>
      <c r="M535" s="11">
        <v>3.1</v>
      </c>
      <c r="N535" s="11">
        <v>3.6</v>
      </c>
      <c r="O535" s="11">
        <f>L535*4</f>
        <v>11.2</v>
      </c>
      <c r="P535" s="11">
        <f>M535*4</f>
        <v>12.4</v>
      </c>
      <c r="Q535" s="11">
        <f>N535*4</f>
        <v>14.4</v>
      </c>
      <c r="R535" s="12">
        <f>(4/3)*3.14*(Q535/2)^3</f>
        <v>1562.6649600000001</v>
      </c>
      <c r="S535" s="12">
        <f>R535/1000</f>
        <v>1.56266496</v>
      </c>
    </row>
    <row r="536" spans="1:19" x14ac:dyDescent="0.25">
      <c r="A536" s="7">
        <v>537</v>
      </c>
      <c r="B536" s="8" t="s">
        <v>137</v>
      </c>
      <c r="C536" s="8" t="s">
        <v>476</v>
      </c>
      <c r="D536" s="7" t="s">
        <v>733</v>
      </c>
      <c r="E536" s="8" t="s">
        <v>744</v>
      </c>
      <c r="F536" s="9">
        <v>5</v>
      </c>
      <c r="G536" s="10" t="s">
        <v>25</v>
      </c>
      <c r="H536" s="8" t="s">
        <v>154</v>
      </c>
      <c r="I536" s="8" t="s">
        <v>155</v>
      </c>
      <c r="J536" s="8"/>
      <c r="K536" s="8"/>
      <c r="L536" s="11">
        <v>3.1</v>
      </c>
      <c r="M536" s="11">
        <v>3.3</v>
      </c>
      <c r="N536" s="11">
        <v>4</v>
      </c>
      <c r="O536" s="11">
        <f>L536*4</f>
        <v>12.4</v>
      </c>
      <c r="P536" s="11">
        <f>M536*4</f>
        <v>13.2</v>
      </c>
      <c r="Q536" s="11">
        <f>N536*4</f>
        <v>16</v>
      </c>
      <c r="R536" s="12">
        <f>(4/3)*3.14*(Q536/2)^3</f>
        <v>2143.5733333333333</v>
      </c>
      <c r="S536" s="12">
        <f>R536/1000</f>
        <v>2.1435733333333333</v>
      </c>
    </row>
    <row r="537" spans="1:19" x14ac:dyDescent="0.25">
      <c r="A537" s="7">
        <v>538</v>
      </c>
      <c r="B537" s="8" t="s">
        <v>137</v>
      </c>
      <c r="C537" s="8" t="s">
        <v>477</v>
      </c>
      <c r="D537" s="7" t="s">
        <v>733</v>
      </c>
      <c r="E537" s="8" t="s">
        <v>744</v>
      </c>
      <c r="F537" s="9">
        <v>5</v>
      </c>
      <c r="G537" s="10" t="s">
        <v>25</v>
      </c>
      <c r="H537" s="8" t="s">
        <v>154</v>
      </c>
      <c r="I537" s="8" t="s">
        <v>155</v>
      </c>
      <c r="J537" s="8" t="s">
        <v>22</v>
      </c>
      <c r="K537" s="8"/>
      <c r="L537" s="11">
        <v>2.9</v>
      </c>
      <c r="M537" s="11">
        <v>2.9</v>
      </c>
      <c r="N537" s="11">
        <v>3.3</v>
      </c>
      <c r="O537" s="11">
        <f>L537*4</f>
        <v>11.6</v>
      </c>
      <c r="P537" s="11">
        <f>M537*4</f>
        <v>11.6</v>
      </c>
      <c r="Q537" s="11">
        <f>N537*4</f>
        <v>13.2</v>
      </c>
      <c r="R537" s="12">
        <f>(4/3)*3.14*(Q537/2)^3</f>
        <v>1203.6499199999998</v>
      </c>
      <c r="S537" s="12">
        <f>R537/1000</f>
        <v>1.2036499199999999</v>
      </c>
    </row>
    <row r="538" spans="1:19" x14ac:dyDescent="0.25">
      <c r="A538" s="7">
        <v>539</v>
      </c>
      <c r="B538" s="8" t="s">
        <v>137</v>
      </c>
      <c r="C538" s="8" t="s">
        <v>478</v>
      </c>
      <c r="D538" s="7" t="s">
        <v>734</v>
      </c>
      <c r="E538" s="8" t="s">
        <v>744</v>
      </c>
      <c r="F538" s="9">
        <v>5</v>
      </c>
      <c r="G538" s="10" t="s">
        <v>25</v>
      </c>
      <c r="H538" s="8" t="s">
        <v>154</v>
      </c>
      <c r="I538" s="8" t="s">
        <v>155</v>
      </c>
      <c r="J538" s="8" t="s">
        <v>22</v>
      </c>
      <c r="K538" s="8"/>
      <c r="L538" s="11">
        <v>3.4</v>
      </c>
      <c r="M538" s="11">
        <v>3</v>
      </c>
      <c r="N538" s="11">
        <v>3.9</v>
      </c>
      <c r="O538" s="11">
        <f>L538*4</f>
        <v>13.6</v>
      </c>
      <c r="P538" s="11">
        <f>M538*4</f>
        <v>12</v>
      </c>
      <c r="Q538" s="11">
        <f>N538*4</f>
        <v>15.6</v>
      </c>
      <c r="R538" s="12">
        <f>(4/3)*3.14*(Q538/2)^3</f>
        <v>1986.7910399999998</v>
      </c>
      <c r="S538" s="12">
        <f>R538/1000</f>
        <v>1.9867910399999997</v>
      </c>
    </row>
    <row r="539" spans="1:19" x14ac:dyDescent="0.25">
      <c r="A539" s="7">
        <v>540</v>
      </c>
      <c r="B539" s="8" t="s">
        <v>137</v>
      </c>
      <c r="C539" s="8" t="s">
        <v>531</v>
      </c>
      <c r="D539" s="7" t="s">
        <v>734</v>
      </c>
      <c r="E539" s="8" t="s">
        <v>744</v>
      </c>
      <c r="F539" s="9">
        <v>6</v>
      </c>
      <c r="G539" s="10" t="s">
        <v>33</v>
      </c>
      <c r="H539" s="8" t="s">
        <v>154</v>
      </c>
      <c r="I539" s="8" t="s">
        <v>155</v>
      </c>
      <c r="J539" s="8" t="s">
        <v>22</v>
      </c>
      <c r="K539" s="8"/>
      <c r="L539" s="11">
        <v>4.8</v>
      </c>
      <c r="M539" s="11">
        <v>8.5</v>
      </c>
      <c r="N539" s="11">
        <v>8.6999999999999993</v>
      </c>
      <c r="O539" s="11">
        <f>L539*4</f>
        <v>19.2</v>
      </c>
      <c r="P539" s="11">
        <f>M539*4</f>
        <v>34</v>
      </c>
      <c r="Q539" s="11">
        <f>N539*4</f>
        <v>34.799999999999997</v>
      </c>
      <c r="R539" s="12">
        <f>(4/3)*3.14*(Q539/2)^3</f>
        <v>22055.460479999994</v>
      </c>
      <c r="S539" s="12">
        <f>R539/1000</f>
        <v>22.055460479999994</v>
      </c>
    </row>
    <row r="540" spans="1:19" x14ac:dyDescent="0.25">
      <c r="A540" s="7">
        <v>541</v>
      </c>
      <c r="B540" s="8" t="s">
        <v>137</v>
      </c>
      <c r="C540" s="8" t="s">
        <v>479</v>
      </c>
      <c r="D540" s="7" t="s">
        <v>734</v>
      </c>
      <c r="E540" s="8" t="s">
        <v>744</v>
      </c>
      <c r="F540" s="9">
        <v>5</v>
      </c>
      <c r="G540" s="10" t="s">
        <v>25</v>
      </c>
      <c r="H540" s="8" t="s">
        <v>154</v>
      </c>
      <c r="I540" s="8" t="s">
        <v>155</v>
      </c>
      <c r="J540" s="8" t="s">
        <v>22</v>
      </c>
      <c r="K540" s="8"/>
      <c r="L540" s="11">
        <v>3.8</v>
      </c>
      <c r="M540" s="11">
        <v>4.9000000000000004</v>
      </c>
      <c r="N540" s="11">
        <v>5.3</v>
      </c>
      <c r="O540" s="11">
        <f>L540*4</f>
        <v>15.2</v>
      </c>
      <c r="P540" s="11">
        <f>M540*4</f>
        <v>19.600000000000001</v>
      </c>
      <c r="Q540" s="11">
        <f>N540*4</f>
        <v>21.2</v>
      </c>
      <c r="R540" s="12">
        <f>(4/3)*3.14*(Q540/2)^3</f>
        <v>4986.3869866666655</v>
      </c>
      <c r="S540" s="12">
        <f>R540/1000</f>
        <v>4.9863869866666652</v>
      </c>
    </row>
    <row r="541" spans="1:19" x14ac:dyDescent="0.25">
      <c r="A541" s="7">
        <v>542</v>
      </c>
      <c r="B541" s="8" t="s">
        <v>137</v>
      </c>
      <c r="C541" s="8" t="s">
        <v>532</v>
      </c>
      <c r="D541" s="7" t="s">
        <v>734</v>
      </c>
      <c r="E541" s="8" t="s">
        <v>744</v>
      </c>
      <c r="F541" s="9">
        <v>6</v>
      </c>
      <c r="G541" s="10" t="s">
        <v>33</v>
      </c>
      <c r="H541" s="8" t="s">
        <v>60</v>
      </c>
      <c r="I541" s="8" t="s">
        <v>61</v>
      </c>
      <c r="J541" s="8"/>
      <c r="K541" s="8"/>
      <c r="L541" s="11">
        <v>4.5999999999999996</v>
      </c>
      <c r="M541" s="11">
        <v>8.1</v>
      </c>
      <c r="N541" s="11">
        <v>9.1</v>
      </c>
      <c r="O541" s="11">
        <f>L541*4</f>
        <v>18.399999999999999</v>
      </c>
      <c r="P541" s="11">
        <f>M541*4</f>
        <v>32.4</v>
      </c>
      <c r="Q541" s="11">
        <f>N541*4</f>
        <v>36.4</v>
      </c>
      <c r="R541" s="12">
        <f>(4/3)*3.14*(Q541/2)^3</f>
        <v>25239.604693333331</v>
      </c>
      <c r="S541" s="12">
        <f>R541/1000</f>
        <v>25.23960469333333</v>
      </c>
    </row>
    <row r="542" spans="1:19" x14ac:dyDescent="0.25">
      <c r="A542" s="7">
        <v>543</v>
      </c>
      <c r="B542" s="8" t="s">
        <v>137</v>
      </c>
      <c r="C542" s="8" t="s">
        <v>480</v>
      </c>
      <c r="D542" s="7" t="s">
        <v>734</v>
      </c>
      <c r="E542" s="8" t="s">
        <v>744</v>
      </c>
      <c r="F542" s="9">
        <v>5</v>
      </c>
      <c r="G542" s="10" t="s">
        <v>25</v>
      </c>
      <c r="H542" s="8" t="s">
        <v>154</v>
      </c>
      <c r="I542" s="8" t="s">
        <v>155</v>
      </c>
      <c r="J542" s="8" t="s">
        <v>22</v>
      </c>
      <c r="K542" s="8"/>
      <c r="L542" s="11">
        <v>4</v>
      </c>
      <c r="M542" s="11">
        <v>4.4000000000000004</v>
      </c>
      <c r="N542" s="11">
        <v>5.6</v>
      </c>
      <c r="O542" s="11">
        <f>L542*4</f>
        <v>16</v>
      </c>
      <c r="P542" s="11">
        <f>M542*4</f>
        <v>17.600000000000001</v>
      </c>
      <c r="Q542" s="11">
        <f>N542*4</f>
        <v>22.4</v>
      </c>
      <c r="R542" s="12">
        <f>(4/3)*3.14*(Q542/2)^3</f>
        <v>5881.9652266666653</v>
      </c>
      <c r="S542" s="12">
        <f>R542/1000</f>
        <v>5.8819652266666651</v>
      </c>
    </row>
    <row r="543" spans="1:19" x14ac:dyDescent="0.25">
      <c r="A543" s="7">
        <v>544</v>
      </c>
      <c r="B543" s="8" t="s">
        <v>137</v>
      </c>
      <c r="C543" s="8" t="s">
        <v>481</v>
      </c>
      <c r="D543" s="7" t="s">
        <v>734</v>
      </c>
      <c r="E543" s="8" t="s">
        <v>744</v>
      </c>
      <c r="F543" s="9">
        <v>5</v>
      </c>
      <c r="G543" s="10" t="s">
        <v>33</v>
      </c>
      <c r="H543" s="8" t="s">
        <v>154</v>
      </c>
      <c r="I543" s="8" t="s">
        <v>155</v>
      </c>
      <c r="J543" s="8"/>
      <c r="K543" s="8" t="s">
        <v>406</v>
      </c>
      <c r="L543" s="11">
        <v>4.4000000000000004</v>
      </c>
      <c r="M543" s="11">
        <v>5.0999999999999996</v>
      </c>
      <c r="N543" s="11">
        <v>6.1</v>
      </c>
      <c r="O543" s="11">
        <f>L543*4</f>
        <v>17.600000000000001</v>
      </c>
      <c r="P543" s="11">
        <f>M543*4</f>
        <v>20.399999999999999</v>
      </c>
      <c r="Q543" s="11">
        <f>N543*4</f>
        <v>24.4</v>
      </c>
      <c r="R543" s="12">
        <f>(4/3)*3.14*(Q543/2)^3</f>
        <v>7602.3502933333311</v>
      </c>
      <c r="S543" s="12">
        <f>R543/1000</f>
        <v>7.6023502933333313</v>
      </c>
    </row>
    <row r="544" spans="1:19" x14ac:dyDescent="0.25">
      <c r="A544" s="7">
        <v>545</v>
      </c>
      <c r="B544" s="8" t="s">
        <v>137</v>
      </c>
      <c r="C544" s="8" t="s">
        <v>482</v>
      </c>
      <c r="D544" s="7" t="s">
        <v>734</v>
      </c>
      <c r="E544" s="8" t="s">
        <v>744</v>
      </c>
      <c r="F544" s="9">
        <v>5</v>
      </c>
      <c r="G544" s="10" t="s">
        <v>25</v>
      </c>
      <c r="H544" s="8" t="s">
        <v>154</v>
      </c>
      <c r="I544" s="8" t="s">
        <v>155</v>
      </c>
      <c r="J544" s="8" t="s">
        <v>28</v>
      </c>
      <c r="K544" s="8"/>
      <c r="L544" s="11">
        <v>3.8</v>
      </c>
      <c r="M544" s="11">
        <v>4.2</v>
      </c>
      <c r="N544" s="11">
        <v>5</v>
      </c>
      <c r="O544" s="11">
        <f>L544*4</f>
        <v>15.2</v>
      </c>
      <c r="P544" s="11">
        <f>M544*4</f>
        <v>16.8</v>
      </c>
      <c r="Q544" s="11">
        <f>N544*4</f>
        <v>20</v>
      </c>
      <c r="R544" s="12">
        <f>(4/3)*3.14*(Q544/2)^3</f>
        <v>4186.666666666667</v>
      </c>
      <c r="S544" s="12">
        <f>R544/1000</f>
        <v>4.1866666666666665</v>
      </c>
    </row>
    <row r="545" spans="1:19" x14ac:dyDescent="0.25">
      <c r="A545" s="7">
        <v>546</v>
      </c>
      <c r="B545" s="8" t="s">
        <v>137</v>
      </c>
      <c r="C545" s="8" t="s">
        <v>533</v>
      </c>
      <c r="D545" s="7" t="s">
        <v>733</v>
      </c>
      <c r="E545" s="8" t="s">
        <v>744</v>
      </c>
      <c r="F545" s="9">
        <v>6</v>
      </c>
      <c r="G545" s="10" t="s">
        <v>33</v>
      </c>
      <c r="H545" s="8" t="s">
        <v>154</v>
      </c>
      <c r="I545" s="8" t="s">
        <v>155</v>
      </c>
      <c r="J545" s="8" t="s">
        <v>22</v>
      </c>
      <c r="K545" s="8"/>
      <c r="L545" s="11">
        <v>2.7</v>
      </c>
      <c r="M545" s="11">
        <v>7.7</v>
      </c>
      <c r="N545" s="11">
        <v>7</v>
      </c>
      <c r="O545" s="11">
        <f>L545*4</f>
        <v>10.8</v>
      </c>
      <c r="P545" s="11">
        <f>M545*4</f>
        <v>30.8</v>
      </c>
      <c r="Q545" s="11">
        <f>N545*4</f>
        <v>28</v>
      </c>
      <c r="R545" s="12">
        <f>(4/3)*3.14*(Q545/2)^3</f>
        <v>11488.213333333333</v>
      </c>
      <c r="S545" s="12">
        <f>R545/1000</f>
        <v>11.488213333333332</v>
      </c>
    </row>
    <row r="546" spans="1:19" x14ac:dyDescent="0.25">
      <c r="A546" s="7">
        <v>547</v>
      </c>
      <c r="B546" s="8" t="s">
        <v>137</v>
      </c>
      <c r="C546" s="8" t="s">
        <v>534</v>
      </c>
      <c r="D546" s="7" t="s">
        <v>733</v>
      </c>
      <c r="E546" s="8" t="s">
        <v>744</v>
      </c>
      <c r="F546" s="9">
        <v>6</v>
      </c>
      <c r="G546" s="10" t="s">
        <v>33</v>
      </c>
      <c r="H546" s="8" t="s">
        <v>313</v>
      </c>
      <c r="I546" s="8" t="s">
        <v>313</v>
      </c>
      <c r="J546" s="8"/>
      <c r="K546" s="8"/>
      <c r="L546" s="11">
        <v>3.2</v>
      </c>
      <c r="M546" s="11">
        <v>8.9</v>
      </c>
      <c r="N546" s="11">
        <v>7.3</v>
      </c>
      <c r="O546" s="11">
        <f>L546*4</f>
        <v>12.8</v>
      </c>
      <c r="P546" s="11">
        <f>M546*4</f>
        <v>35.6</v>
      </c>
      <c r="Q546" s="11">
        <f>N546*4</f>
        <v>29.2</v>
      </c>
      <c r="R546" s="12">
        <f>(4/3)*3.14*(Q546/2)^3</f>
        <v>13029.476053333332</v>
      </c>
      <c r="S546" s="12">
        <f>R546/1000</f>
        <v>13.029476053333331</v>
      </c>
    </row>
    <row r="547" spans="1:19" x14ac:dyDescent="0.25">
      <c r="A547" s="7">
        <v>548</v>
      </c>
      <c r="B547" s="8" t="s">
        <v>137</v>
      </c>
      <c r="C547" s="8" t="s">
        <v>173</v>
      </c>
      <c r="D547" s="7" t="s">
        <v>733</v>
      </c>
      <c r="E547" s="8" t="s">
        <v>744</v>
      </c>
      <c r="F547" s="9">
        <v>3</v>
      </c>
      <c r="G547" s="10" t="s">
        <v>19</v>
      </c>
      <c r="H547" s="8" t="s">
        <v>20</v>
      </c>
      <c r="I547" s="8" t="s">
        <v>21</v>
      </c>
      <c r="J547" s="8" t="s">
        <v>22</v>
      </c>
      <c r="K547" s="8"/>
      <c r="L547" s="11">
        <v>2.5</v>
      </c>
      <c r="M547" s="11">
        <v>1.6</v>
      </c>
      <c r="N547" s="11">
        <v>3</v>
      </c>
      <c r="O547" s="11">
        <f>L547*4</f>
        <v>10</v>
      </c>
      <c r="P547" s="11">
        <f>M547*4</f>
        <v>6.4</v>
      </c>
      <c r="Q547" s="11">
        <f>N547*4</f>
        <v>12</v>
      </c>
      <c r="R547" s="12">
        <f>4/3*3.14*(Q547/2)*(Q547/2)*(P547/2)</f>
        <v>482.30399999999992</v>
      </c>
      <c r="S547" s="12">
        <f>R547/1000</f>
        <v>0.4823039999999999</v>
      </c>
    </row>
    <row r="548" spans="1:19" x14ac:dyDescent="0.25">
      <c r="A548" s="7">
        <v>549</v>
      </c>
      <c r="B548" s="8" t="s">
        <v>137</v>
      </c>
      <c r="C548" s="8" t="s">
        <v>279</v>
      </c>
      <c r="D548" s="7" t="s">
        <v>733</v>
      </c>
      <c r="E548" s="8" t="s">
        <v>744</v>
      </c>
      <c r="F548" s="9">
        <v>4</v>
      </c>
      <c r="G548" s="10" t="s">
        <v>25</v>
      </c>
      <c r="H548" s="8" t="s">
        <v>100</v>
      </c>
      <c r="I548" s="8" t="s">
        <v>21</v>
      </c>
      <c r="J548" s="8" t="s">
        <v>22</v>
      </c>
      <c r="K548" s="8"/>
      <c r="L548" s="11">
        <v>4.5999999999999996</v>
      </c>
      <c r="M548" s="11">
        <v>3.3</v>
      </c>
      <c r="N548" s="11">
        <v>4.5999999999999996</v>
      </c>
      <c r="O548" s="11">
        <f>L548*4</f>
        <v>18.399999999999999</v>
      </c>
      <c r="P548" s="11">
        <f>M548*4</f>
        <v>13.2</v>
      </c>
      <c r="Q548" s="11">
        <f>N548*4</f>
        <v>18.399999999999999</v>
      </c>
      <c r="R548" s="12">
        <f>2/3*3.14*(Q548/2)^3</f>
        <v>1630.0535466666661</v>
      </c>
      <c r="S548" s="12">
        <f>R548/1000</f>
        <v>1.6300535466666661</v>
      </c>
    </row>
    <row r="549" spans="1:19" x14ac:dyDescent="0.25">
      <c r="A549" s="7">
        <v>550</v>
      </c>
      <c r="B549" s="8" t="s">
        <v>137</v>
      </c>
      <c r="C549" s="8" t="s">
        <v>483</v>
      </c>
      <c r="D549" s="7" t="s">
        <v>733</v>
      </c>
      <c r="E549" s="8" t="s">
        <v>744</v>
      </c>
      <c r="F549" s="9">
        <v>5</v>
      </c>
      <c r="G549" s="10" t="s">
        <v>25</v>
      </c>
      <c r="H549" s="8" t="s">
        <v>100</v>
      </c>
      <c r="I549" s="8" t="s">
        <v>21</v>
      </c>
      <c r="J549" s="8"/>
      <c r="K549" s="8"/>
      <c r="L549" s="11">
        <v>3</v>
      </c>
      <c r="M549" s="11">
        <v>3.3</v>
      </c>
      <c r="N549" s="11">
        <v>4</v>
      </c>
      <c r="O549" s="11">
        <f>L549*4</f>
        <v>12</v>
      </c>
      <c r="P549" s="11">
        <f>M549*4</f>
        <v>13.2</v>
      </c>
      <c r="Q549" s="11">
        <f>N549*4</f>
        <v>16</v>
      </c>
      <c r="R549" s="12">
        <f>(4/3)*3.14*(Q549/2)^3</f>
        <v>2143.5733333333333</v>
      </c>
      <c r="S549" s="12">
        <f>R549/1000</f>
        <v>2.1435733333333333</v>
      </c>
    </row>
    <row r="550" spans="1:19" x14ac:dyDescent="0.25">
      <c r="A550" s="7">
        <v>551</v>
      </c>
      <c r="B550" s="8" t="s">
        <v>137</v>
      </c>
      <c r="C550" s="8" t="s">
        <v>280</v>
      </c>
      <c r="D550" s="7" t="s">
        <v>733</v>
      </c>
      <c r="E550" s="8" t="s">
        <v>744</v>
      </c>
      <c r="F550" s="9">
        <v>4</v>
      </c>
      <c r="G550" s="10" t="s">
        <v>25</v>
      </c>
      <c r="H550" s="8" t="s">
        <v>100</v>
      </c>
      <c r="I550" s="8" t="s">
        <v>21</v>
      </c>
      <c r="J550" s="8"/>
      <c r="K550" s="8"/>
      <c r="L550" s="11">
        <v>4.9000000000000004</v>
      </c>
      <c r="M550" s="11">
        <v>3.5</v>
      </c>
      <c r="N550" s="11">
        <v>5.2</v>
      </c>
      <c r="O550" s="11">
        <f>L550*4</f>
        <v>19.600000000000001</v>
      </c>
      <c r="P550" s="11">
        <f>M550*4</f>
        <v>14</v>
      </c>
      <c r="Q550" s="11">
        <f>N550*4</f>
        <v>20.8</v>
      </c>
      <c r="R550" s="12">
        <f>2/3*3.14*(Q550/2)^3</f>
        <v>2354.7153066666669</v>
      </c>
      <c r="S550" s="12">
        <f>R550/1000</f>
        <v>2.3547153066666668</v>
      </c>
    </row>
    <row r="551" spans="1:19" x14ac:dyDescent="0.25">
      <c r="A551" s="7">
        <v>552</v>
      </c>
      <c r="B551" s="8" t="s">
        <v>137</v>
      </c>
      <c r="C551" s="8" t="s">
        <v>484</v>
      </c>
      <c r="D551" s="7" t="s">
        <v>733</v>
      </c>
      <c r="E551" s="8" t="s">
        <v>744</v>
      </c>
      <c r="F551" s="9">
        <v>5</v>
      </c>
      <c r="G551" s="10" t="s">
        <v>19</v>
      </c>
      <c r="H551" s="8" t="s">
        <v>20</v>
      </c>
      <c r="I551" s="8" t="s">
        <v>21</v>
      </c>
      <c r="J551" s="8" t="s">
        <v>28</v>
      </c>
      <c r="K551" s="8"/>
      <c r="L551" s="11">
        <v>2.2000000000000002</v>
      </c>
      <c r="M551" s="11">
        <v>2.5</v>
      </c>
      <c r="N551" s="11">
        <v>2.8</v>
      </c>
      <c r="O551" s="11">
        <f>L551*4</f>
        <v>8.8000000000000007</v>
      </c>
      <c r="P551" s="11">
        <f>M551*4</f>
        <v>10</v>
      </c>
      <c r="Q551" s="11">
        <f>N551*4</f>
        <v>11.2</v>
      </c>
      <c r="R551" s="12">
        <f>(4/3)*3.14*(Q551/2)^3</f>
        <v>735.24565333333317</v>
      </c>
      <c r="S551" s="12">
        <f>R551/1000</f>
        <v>0.73524565333333314</v>
      </c>
    </row>
    <row r="552" spans="1:19" x14ac:dyDescent="0.25">
      <c r="A552" s="7">
        <v>553</v>
      </c>
      <c r="B552" s="8" t="s">
        <v>137</v>
      </c>
      <c r="C552" s="8" t="s">
        <v>281</v>
      </c>
      <c r="D552" s="7" t="s">
        <v>733</v>
      </c>
      <c r="E552" s="8" t="s">
        <v>744</v>
      </c>
      <c r="F552" s="9">
        <v>4</v>
      </c>
      <c r="G552" s="10" t="s">
        <v>19</v>
      </c>
      <c r="H552" s="8" t="s">
        <v>54</v>
      </c>
      <c r="I552" s="8" t="s">
        <v>55</v>
      </c>
      <c r="J552" s="8" t="s">
        <v>28</v>
      </c>
      <c r="K552" s="8"/>
      <c r="L552" s="11">
        <v>2.9</v>
      </c>
      <c r="M552" s="11">
        <v>1.9</v>
      </c>
      <c r="N552" s="11">
        <v>2.9</v>
      </c>
      <c r="O552" s="11">
        <f>L552*4</f>
        <v>11.6</v>
      </c>
      <c r="P552" s="11">
        <f>M552*4</f>
        <v>7.6</v>
      </c>
      <c r="Q552" s="11">
        <f>N552*4</f>
        <v>11.6</v>
      </c>
      <c r="R552" s="12">
        <f>2/3*3.14*(Q552/2)^3</f>
        <v>408.43445333333329</v>
      </c>
      <c r="S552" s="12">
        <f>R552/1000</f>
        <v>0.40843445333333328</v>
      </c>
    </row>
    <row r="553" spans="1:19" x14ac:dyDescent="0.25">
      <c r="A553" s="7">
        <v>554</v>
      </c>
      <c r="B553" s="8" t="s">
        <v>137</v>
      </c>
      <c r="C553" s="8" t="s">
        <v>485</v>
      </c>
      <c r="D553" s="7" t="s">
        <v>733</v>
      </c>
      <c r="E553" s="8" t="s">
        <v>744</v>
      </c>
      <c r="F553" s="9">
        <v>5</v>
      </c>
      <c r="G553" s="10" t="s">
        <v>25</v>
      </c>
      <c r="H553" s="8" t="s">
        <v>154</v>
      </c>
      <c r="I553" s="8" t="s">
        <v>155</v>
      </c>
      <c r="J553" s="8"/>
      <c r="K553" s="8"/>
      <c r="L553" s="11">
        <v>3.3</v>
      </c>
      <c r="M553" s="11">
        <v>4</v>
      </c>
      <c r="N553" s="11">
        <v>4.3</v>
      </c>
      <c r="O553" s="11">
        <f>L553*4</f>
        <v>13.2</v>
      </c>
      <c r="P553" s="11">
        <f>M553*4</f>
        <v>16</v>
      </c>
      <c r="Q553" s="11">
        <f>N553*4</f>
        <v>17.2</v>
      </c>
      <c r="R553" s="12">
        <f>(4/3)*3.14*(Q553/2)^3</f>
        <v>2662.9544533333328</v>
      </c>
      <c r="S553" s="12">
        <f>R553/1000</f>
        <v>2.6629544533333327</v>
      </c>
    </row>
    <row r="554" spans="1:19" x14ac:dyDescent="0.25">
      <c r="A554" s="7">
        <v>555</v>
      </c>
      <c r="B554" s="8" t="s">
        <v>139</v>
      </c>
      <c r="C554" s="8" t="s">
        <v>174</v>
      </c>
      <c r="D554" s="7" t="s">
        <v>735</v>
      </c>
      <c r="E554" s="8" t="s">
        <v>744</v>
      </c>
      <c r="F554" s="9">
        <v>3</v>
      </c>
      <c r="G554" s="10" t="s">
        <v>33</v>
      </c>
      <c r="H554" s="8" t="s">
        <v>154</v>
      </c>
      <c r="I554" s="8" t="s">
        <v>155</v>
      </c>
      <c r="J554" s="8" t="s">
        <v>22</v>
      </c>
      <c r="K554" s="8"/>
      <c r="L554" s="11">
        <v>9.3000000000000007</v>
      </c>
      <c r="M554" s="11">
        <v>5.2</v>
      </c>
      <c r="N554" s="11">
        <v>11</v>
      </c>
      <c r="O554" s="11">
        <f>L554*4</f>
        <v>37.200000000000003</v>
      </c>
      <c r="P554" s="11">
        <f>M554*4</f>
        <v>20.8</v>
      </c>
      <c r="Q554" s="11">
        <f>N554*4</f>
        <v>44</v>
      </c>
      <c r="R554" s="12">
        <f>4/3*3.14*(Q554/2)*(Q554/2)*(P554/2)</f>
        <v>21074.005333333334</v>
      </c>
      <c r="S554" s="12">
        <f>R554/1000</f>
        <v>21.074005333333336</v>
      </c>
    </row>
    <row r="555" spans="1:19" x14ac:dyDescent="0.25">
      <c r="A555" s="7">
        <v>556</v>
      </c>
      <c r="B555" s="8" t="s">
        <v>139</v>
      </c>
      <c r="C555" s="8" t="s">
        <v>580</v>
      </c>
      <c r="D555" s="7" t="s">
        <v>735</v>
      </c>
      <c r="E555" s="8" t="s">
        <v>744</v>
      </c>
      <c r="F555" s="9">
        <v>7</v>
      </c>
      <c r="G555" s="10" t="s">
        <v>33</v>
      </c>
      <c r="H555" s="8" t="s">
        <v>20</v>
      </c>
      <c r="I555" s="8" t="s">
        <v>21</v>
      </c>
      <c r="J555" s="8" t="s">
        <v>22</v>
      </c>
      <c r="K555" s="8"/>
      <c r="L555" s="11">
        <v>6</v>
      </c>
      <c r="M555" s="11">
        <v>3.7</v>
      </c>
      <c r="N555" s="11">
        <v>7.2</v>
      </c>
      <c r="O555" s="11">
        <f>L555*4</f>
        <v>24</v>
      </c>
      <c r="P555" s="11">
        <f>M555*4</f>
        <v>14.8</v>
      </c>
      <c r="Q555" s="11">
        <f>N555*4</f>
        <v>28.8</v>
      </c>
      <c r="R555" s="12">
        <f>4/3*3.14*(Q555/2)*(Q555/2)*(P555/2)</f>
        <v>6424.28928</v>
      </c>
      <c r="S555" s="12">
        <f>R555/1000</f>
        <v>6.42428928</v>
      </c>
    </row>
    <row r="556" spans="1:19" x14ac:dyDescent="0.25">
      <c r="A556" s="7">
        <v>557</v>
      </c>
      <c r="B556" s="8" t="s">
        <v>139</v>
      </c>
      <c r="C556" s="8" t="s">
        <v>175</v>
      </c>
      <c r="D556" s="7" t="s">
        <v>735</v>
      </c>
      <c r="E556" s="8" t="s">
        <v>744</v>
      </c>
      <c r="F556" s="9">
        <v>3</v>
      </c>
      <c r="G556" s="10" t="s">
        <v>33</v>
      </c>
      <c r="H556" s="8" t="s">
        <v>154</v>
      </c>
      <c r="I556" s="8" t="s">
        <v>155</v>
      </c>
      <c r="J556" s="8" t="s">
        <v>22</v>
      </c>
      <c r="K556" s="8"/>
      <c r="L556" s="11">
        <v>7.5</v>
      </c>
      <c r="M556" s="11">
        <v>4.5999999999999996</v>
      </c>
      <c r="N556" s="11">
        <v>8.1</v>
      </c>
      <c r="O556" s="11">
        <f>L556*4</f>
        <v>30</v>
      </c>
      <c r="P556" s="11">
        <f>M556*4</f>
        <v>18.399999999999999</v>
      </c>
      <c r="Q556" s="11">
        <f>N556*4</f>
        <v>32.4</v>
      </c>
      <c r="R556" s="12">
        <f>4/3*3.14*(Q556/2)*(Q556/2)*(P556/2)</f>
        <v>10108.488959999997</v>
      </c>
      <c r="S556" s="12">
        <f>R556/1000</f>
        <v>10.108488959999997</v>
      </c>
    </row>
    <row r="557" spans="1:19" x14ac:dyDescent="0.25">
      <c r="A557" s="7">
        <v>558</v>
      </c>
      <c r="B557" s="8" t="s">
        <v>139</v>
      </c>
      <c r="C557" s="8" t="s">
        <v>591</v>
      </c>
      <c r="D557" s="7" t="s">
        <v>735</v>
      </c>
      <c r="E557" s="8" t="s">
        <v>744</v>
      </c>
      <c r="F557" s="9">
        <v>8</v>
      </c>
      <c r="G557" s="10" t="s">
        <v>33</v>
      </c>
      <c r="H557" s="8" t="s">
        <v>86</v>
      </c>
      <c r="I557" s="8" t="s">
        <v>86</v>
      </c>
      <c r="J557" s="8" t="s">
        <v>28</v>
      </c>
      <c r="K557" s="8" t="s">
        <v>240</v>
      </c>
      <c r="L557" s="11">
        <v>8.1999999999999993</v>
      </c>
      <c r="M557" s="11">
        <v>2.6</v>
      </c>
      <c r="N557" s="11">
        <v>9.1999999999999993</v>
      </c>
      <c r="O557" s="11">
        <f>L557*4</f>
        <v>32.799999999999997</v>
      </c>
      <c r="P557" s="11">
        <f>M557*4</f>
        <v>10.4</v>
      </c>
      <c r="Q557" s="11">
        <f>N557*4</f>
        <v>36.799999999999997</v>
      </c>
      <c r="R557" s="12">
        <f>4/3*3.14*(Q557/2)*(Q557/2)*(P557/2)</f>
        <v>7370.6769066666648</v>
      </c>
      <c r="S557" s="12">
        <f>R557/1000</f>
        <v>7.3706769066666649</v>
      </c>
    </row>
    <row r="558" spans="1:19" x14ac:dyDescent="0.25">
      <c r="A558" s="7">
        <v>560</v>
      </c>
      <c r="B558" s="8" t="s">
        <v>139</v>
      </c>
      <c r="C558" s="8" t="s">
        <v>627</v>
      </c>
      <c r="D558" s="7" t="s">
        <v>735</v>
      </c>
      <c r="E558" s="8" t="s">
        <v>744</v>
      </c>
      <c r="F558" s="9">
        <v>10</v>
      </c>
      <c r="G558" s="10" t="s">
        <v>33</v>
      </c>
      <c r="H558" s="8" t="s">
        <v>154</v>
      </c>
      <c r="I558" s="8" t="s">
        <v>155</v>
      </c>
      <c r="J558" s="8" t="s">
        <v>28</v>
      </c>
      <c r="K558" s="8"/>
      <c r="L558" s="11">
        <v>5.9</v>
      </c>
      <c r="M558" s="11">
        <v>9.8000000000000007</v>
      </c>
      <c r="N558" s="11">
        <v>8</v>
      </c>
      <c r="O558" s="11">
        <f>L558*4</f>
        <v>23.6</v>
      </c>
      <c r="P558" s="11">
        <f>M558*4</f>
        <v>39.200000000000003</v>
      </c>
      <c r="Q558" s="11">
        <f>N558*4</f>
        <v>32</v>
      </c>
      <c r="R558" s="12">
        <f>4/3*3.14*(Q558/2)*(Q558/2)*(P558/2)</f>
        <v>21007.018666666667</v>
      </c>
      <c r="S558" s="12">
        <f>R558/1000</f>
        <v>21.007018666666667</v>
      </c>
    </row>
    <row r="559" spans="1:19" x14ac:dyDescent="0.25">
      <c r="A559" s="7">
        <v>561</v>
      </c>
      <c r="B559" s="8" t="s">
        <v>139</v>
      </c>
      <c r="C559" s="8" t="s">
        <v>628</v>
      </c>
      <c r="D559" s="7" t="s">
        <v>735</v>
      </c>
      <c r="E559" s="8" t="s">
        <v>744</v>
      </c>
      <c r="F559" s="9">
        <v>10</v>
      </c>
      <c r="G559" s="10" t="s">
        <v>42</v>
      </c>
      <c r="H559" s="8" t="s">
        <v>26</v>
      </c>
      <c r="I559" s="8" t="s">
        <v>27</v>
      </c>
      <c r="J559" s="8" t="s">
        <v>22</v>
      </c>
      <c r="K559" s="8" t="s">
        <v>406</v>
      </c>
      <c r="L559" s="11">
        <v>11</v>
      </c>
      <c r="M559" s="11">
        <v>17</v>
      </c>
      <c r="N559" s="11">
        <v>13.3</v>
      </c>
      <c r="O559" s="11">
        <f>L559*4</f>
        <v>44</v>
      </c>
      <c r="P559" s="11">
        <f>M559*4</f>
        <v>68</v>
      </c>
      <c r="Q559" s="11">
        <f>N559*4</f>
        <v>53.2</v>
      </c>
      <c r="R559" s="12">
        <f>4/3*3.14*(Q559/2)*(Q559/2)*(P559/2)</f>
        <v>100718.80746666667</v>
      </c>
      <c r="S559" s="12">
        <f>R559/1000</f>
        <v>100.71880746666666</v>
      </c>
    </row>
    <row r="560" spans="1:19" x14ac:dyDescent="0.25">
      <c r="A560" s="7">
        <v>562</v>
      </c>
      <c r="B560" s="8" t="s">
        <v>139</v>
      </c>
      <c r="C560" s="8" t="s">
        <v>535</v>
      </c>
      <c r="D560" s="7" t="s">
        <v>735</v>
      </c>
      <c r="E560" s="8" t="s">
        <v>744</v>
      </c>
      <c r="F560" s="9">
        <v>6</v>
      </c>
      <c r="G560" s="10" t="s">
        <v>33</v>
      </c>
      <c r="H560" s="8" t="s">
        <v>154</v>
      </c>
      <c r="I560" s="8" t="s">
        <v>155</v>
      </c>
      <c r="J560" s="8" t="s">
        <v>22</v>
      </c>
      <c r="K560" s="8"/>
      <c r="L560" s="11">
        <v>2.6</v>
      </c>
      <c r="M560" s="11">
        <v>8.9</v>
      </c>
      <c r="N560" s="11">
        <v>8.6</v>
      </c>
      <c r="O560" s="11">
        <f>L560*4</f>
        <v>10.4</v>
      </c>
      <c r="P560" s="11">
        <f>M560*4</f>
        <v>35.6</v>
      </c>
      <c r="Q560" s="11">
        <f>N560*4</f>
        <v>34.4</v>
      </c>
      <c r="R560" s="12">
        <f>(4/3)*3.14*(Q560/2)^3</f>
        <v>21303.635626666663</v>
      </c>
      <c r="S560" s="12">
        <f>R560/1000</f>
        <v>21.303635626666662</v>
      </c>
    </row>
    <row r="561" spans="1:19" x14ac:dyDescent="0.25">
      <c r="A561" s="7">
        <v>563</v>
      </c>
      <c r="B561" s="8" t="s">
        <v>139</v>
      </c>
      <c r="C561" s="8" t="s">
        <v>635</v>
      </c>
      <c r="D561" s="7" t="s">
        <v>735</v>
      </c>
      <c r="E561" s="8" t="s">
        <v>744</v>
      </c>
      <c r="F561" s="9">
        <v>11</v>
      </c>
      <c r="G561" s="10" t="s">
        <v>33</v>
      </c>
      <c r="H561" s="8" t="s">
        <v>86</v>
      </c>
      <c r="I561" s="8" t="s">
        <v>86</v>
      </c>
      <c r="J561" s="8" t="s">
        <v>22</v>
      </c>
      <c r="K561" s="8"/>
      <c r="L561" s="11">
        <v>1.6</v>
      </c>
      <c r="M561" s="11">
        <v>15.6</v>
      </c>
      <c r="N561" s="11">
        <v>3.7</v>
      </c>
      <c r="O561" s="11">
        <f>L561*4</f>
        <v>6.4</v>
      </c>
      <c r="P561" s="11">
        <f>M561*4</f>
        <v>62.4</v>
      </c>
      <c r="Q561" s="11">
        <f>N561*4</f>
        <v>14.8</v>
      </c>
      <c r="R561" s="12">
        <f>4/3*3.14*(Q561/2)*(Q561/2)*(P561/2)</f>
        <v>7152.9702400000006</v>
      </c>
      <c r="S561" s="12">
        <f>R561/1000</f>
        <v>7.1529702400000001</v>
      </c>
    </row>
    <row r="562" spans="1:19" x14ac:dyDescent="0.25">
      <c r="A562" s="7">
        <v>564</v>
      </c>
      <c r="B562" s="8" t="s">
        <v>139</v>
      </c>
      <c r="C562" s="8" t="s">
        <v>140</v>
      </c>
      <c r="D562" s="7" t="s">
        <v>735</v>
      </c>
      <c r="E562" s="8" t="s">
        <v>744</v>
      </c>
      <c r="F562" s="9">
        <v>2</v>
      </c>
      <c r="G562" s="10" t="s">
        <v>25</v>
      </c>
      <c r="H562" s="8" t="s">
        <v>60</v>
      </c>
      <c r="I562" s="8" t="s">
        <v>61</v>
      </c>
      <c r="J562" s="8" t="s">
        <v>28</v>
      </c>
      <c r="K562" s="8"/>
      <c r="L562" s="11">
        <v>4.5999999999999996</v>
      </c>
      <c r="M562" s="11">
        <v>3.3</v>
      </c>
      <c r="N562" s="11">
        <v>4.5999999999999996</v>
      </c>
      <c r="O562" s="11">
        <f>L562*4</f>
        <v>18.399999999999999</v>
      </c>
      <c r="P562" s="11">
        <f>M562*4</f>
        <v>13.2</v>
      </c>
      <c r="Q562" s="11">
        <f>N562*4</f>
        <v>18.399999999999999</v>
      </c>
      <c r="R562" s="12">
        <f>(1/3)*3.14*P562^2*(3*(Q562/2)-P562)</f>
        <v>2626.1452799999997</v>
      </c>
      <c r="S562" s="12">
        <f>R562/1000</f>
        <v>2.6261452799999998</v>
      </c>
    </row>
    <row r="563" spans="1:19" x14ac:dyDescent="0.25">
      <c r="A563" s="7">
        <v>565</v>
      </c>
      <c r="B563" s="8" t="s">
        <v>139</v>
      </c>
      <c r="C563" s="8" t="s">
        <v>692</v>
      </c>
      <c r="D563" s="7" t="s">
        <v>735</v>
      </c>
      <c r="E563" s="8" t="s">
        <v>744</v>
      </c>
      <c r="F563" s="9">
        <v>14</v>
      </c>
      <c r="G563" s="10"/>
      <c r="H563" s="8" t="s">
        <v>60</v>
      </c>
      <c r="I563" s="8" t="s">
        <v>61</v>
      </c>
      <c r="J563" s="8" t="s">
        <v>641</v>
      </c>
      <c r="K563" s="8"/>
      <c r="L563" s="11">
        <v>4.7</v>
      </c>
      <c r="M563" s="11">
        <v>5.2</v>
      </c>
      <c r="N563" s="11">
        <v>4.7</v>
      </c>
      <c r="O563" s="11">
        <f>L563*4</f>
        <v>18.8</v>
      </c>
      <c r="P563" s="11">
        <f>M563*4</f>
        <v>20.8</v>
      </c>
      <c r="Q563" s="11">
        <f>N563*4</f>
        <v>18.8</v>
      </c>
      <c r="R563" s="12"/>
      <c r="S563" s="12"/>
    </row>
    <row r="564" spans="1:19" x14ac:dyDescent="0.25">
      <c r="A564" s="7">
        <v>566</v>
      </c>
      <c r="B564" s="8" t="s">
        <v>139</v>
      </c>
      <c r="C564" s="8" t="s">
        <v>282</v>
      </c>
      <c r="D564" s="7" t="s">
        <v>735</v>
      </c>
      <c r="E564" s="8" t="s">
        <v>744</v>
      </c>
      <c r="F564" s="9">
        <v>4</v>
      </c>
      <c r="G564" s="10" t="s">
        <v>19</v>
      </c>
      <c r="H564" s="8" t="s">
        <v>20</v>
      </c>
      <c r="I564" s="8" t="s">
        <v>21</v>
      </c>
      <c r="J564" s="8" t="s">
        <v>28</v>
      </c>
      <c r="K564" s="8"/>
      <c r="L564" s="11">
        <v>3.4</v>
      </c>
      <c r="M564" s="11">
        <v>2.9</v>
      </c>
      <c r="N564" s="11">
        <v>3.4</v>
      </c>
      <c r="O564" s="11">
        <f>L564*4</f>
        <v>13.6</v>
      </c>
      <c r="P564" s="11">
        <f>M564*4</f>
        <v>11.6</v>
      </c>
      <c r="Q564" s="11">
        <f>N564*4</f>
        <v>13.6</v>
      </c>
      <c r="R564" s="12">
        <f>2/3*3.14*(Q564/2)^3</f>
        <v>658.2109866666666</v>
      </c>
      <c r="S564" s="12">
        <f>R564/1000</f>
        <v>0.65821098666666655</v>
      </c>
    </row>
    <row r="565" spans="1:19" x14ac:dyDescent="0.25">
      <c r="A565" s="7">
        <v>567</v>
      </c>
      <c r="B565" s="8" t="s">
        <v>139</v>
      </c>
      <c r="C565" s="8" t="s">
        <v>283</v>
      </c>
      <c r="D565" s="7" t="s">
        <v>735</v>
      </c>
      <c r="E565" s="8" t="s">
        <v>744</v>
      </c>
      <c r="F565" s="9">
        <v>4</v>
      </c>
      <c r="G565" s="10" t="s">
        <v>19</v>
      </c>
      <c r="H565" s="8" t="s">
        <v>20</v>
      </c>
      <c r="I565" s="8" t="s">
        <v>21</v>
      </c>
      <c r="J565" s="8" t="s">
        <v>28</v>
      </c>
      <c r="K565" s="8"/>
      <c r="L565" s="11">
        <v>3.3</v>
      </c>
      <c r="M565" s="11">
        <v>1.3</v>
      </c>
      <c r="N565" s="11">
        <v>3.3</v>
      </c>
      <c r="O565" s="11">
        <f>L565*4</f>
        <v>13.2</v>
      </c>
      <c r="P565" s="11">
        <f>M565*4</f>
        <v>5.2</v>
      </c>
      <c r="Q565" s="11">
        <f>N565*4</f>
        <v>13.2</v>
      </c>
      <c r="R565" s="12">
        <f>2/3*3.14*(Q565/2)^3</f>
        <v>601.82495999999992</v>
      </c>
      <c r="S565" s="12">
        <f>R565/1000</f>
        <v>0.60182495999999996</v>
      </c>
    </row>
    <row r="566" spans="1:19" x14ac:dyDescent="0.25">
      <c r="A566" s="7">
        <v>568</v>
      </c>
      <c r="B566" s="8" t="s">
        <v>139</v>
      </c>
      <c r="C566" s="8" t="s">
        <v>639</v>
      </c>
      <c r="D566" s="7" t="s">
        <v>735</v>
      </c>
      <c r="E566" s="8" t="s">
        <v>744</v>
      </c>
      <c r="F566" s="9">
        <v>12</v>
      </c>
      <c r="G566" s="10"/>
      <c r="H566" s="8" t="s">
        <v>86</v>
      </c>
      <c r="I566" s="8" t="s">
        <v>86</v>
      </c>
      <c r="J566" s="8" t="s">
        <v>132</v>
      </c>
      <c r="K566" s="8"/>
      <c r="L566" s="11">
        <v>2.1</v>
      </c>
      <c r="M566" s="11">
        <v>7.2</v>
      </c>
      <c r="N566" s="11">
        <v>4.4000000000000004</v>
      </c>
      <c r="O566" s="11">
        <f>L566*4</f>
        <v>8.4</v>
      </c>
      <c r="P566" s="11">
        <f>M566*4</f>
        <v>28.8</v>
      </c>
      <c r="Q566" s="11">
        <f>N566*4</f>
        <v>17.600000000000001</v>
      </c>
      <c r="R566" s="12"/>
      <c r="S566" s="12"/>
    </row>
    <row r="567" spans="1:19" x14ac:dyDescent="0.25">
      <c r="A567" s="7">
        <v>569</v>
      </c>
      <c r="B567" s="8" t="s">
        <v>139</v>
      </c>
      <c r="C567" s="8" t="s">
        <v>141</v>
      </c>
      <c r="D567" s="7" t="s">
        <v>735</v>
      </c>
      <c r="E567" s="8" t="s">
        <v>744</v>
      </c>
      <c r="F567" s="9">
        <v>2</v>
      </c>
      <c r="G567" s="10" t="s">
        <v>19</v>
      </c>
      <c r="H567" s="8" t="s">
        <v>20</v>
      </c>
      <c r="I567" s="8" t="s">
        <v>21</v>
      </c>
      <c r="J567" s="8" t="s">
        <v>22</v>
      </c>
      <c r="K567" s="8"/>
      <c r="L567" s="11">
        <v>2.4</v>
      </c>
      <c r="M567" s="11">
        <v>1.7</v>
      </c>
      <c r="N567" s="11">
        <v>2.4</v>
      </c>
      <c r="O567" s="11">
        <f>L567*4</f>
        <v>9.6</v>
      </c>
      <c r="P567" s="11">
        <f>M567*4</f>
        <v>6.8</v>
      </c>
      <c r="Q567" s="11">
        <f>N567*4</f>
        <v>9.6</v>
      </c>
      <c r="R567" s="12">
        <f>(1/3)*3.14*P567^2*(3*(Q567/2)-P567)</f>
        <v>367.82378666666654</v>
      </c>
      <c r="S567" s="12">
        <f>R567/1000</f>
        <v>0.36782378666666654</v>
      </c>
    </row>
    <row r="568" spans="1:19" x14ac:dyDescent="0.25">
      <c r="A568" s="7">
        <v>570</v>
      </c>
      <c r="B568" s="8" t="s">
        <v>139</v>
      </c>
      <c r="C568" s="8" t="s">
        <v>284</v>
      </c>
      <c r="D568" s="7" t="s">
        <v>735</v>
      </c>
      <c r="E568" s="8" t="s">
        <v>744</v>
      </c>
      <c r="F568" s="9">
        <v>4</v>
      </c>
      <c r="G568" s="10" t="s">
        <v>25</v>
      </c>
      <c r="H568" s="8" t="s">
        <v>26</v>
      </c>
      <c r="I568" s="8" t="s">
        <v>27</v>
      </c>
      <c r="J568" s="8" t="s">
        <v>237</v>
      </c>
      <c r="K568" s="8"/>
      <c r="L568" s="11">
        <v>5.5</v>
      </c>
      <c r="M568" s="11">
        <v>5.0999999999999996</v>
      </c>
      <c r="N568" s="11">
        <v>5.5</v>
      </c>
      <c r="O568" s="11">
        <f>L568*4</f>
        <v>22</v>
      </c>
      <c r="P568" s="11">
        <f>M568*4</f>
        <v>20.399999999999999</v>
      </c>
      <c r="Q568" s="11">
        <f>N568*4</f>
        <v>22</v>
      </c>
      <c r="R568" s="12">
        <f>2/3*3.14*(Q568/2)^3</f>
        <v>2786.2266666666665</v>
      </c>
      <c r="S568" s="12">
        <f>R568/1000</f>
        <v>2.7862266666666664</v>
      </c>
    </row>
    <row r="569" spans="1:19" x14ac:dyDescent="0.25">
      <c r="A569" s="7">
        <v>571</v>
      </c>
      <c r="B569" s="8" t="s">
        <v>285</v>
      </c>
      <c r="C569" s="8" t="s">
        <v>486</v>
      </c>
      <c r="D569" s="7" t="s">
        <v>736</v>
      </c>
      <c r="E569" s="8" t="s">
        <v>743</v>
      </c>
      <c r="F569" s="9">
        <v>5</v>
      </c>
      <c r="G569" s="10"/>
      <c r="H569" s="8" t="s">
        <v>20</v>
      </c>
      <c r="I569" s="8" t="s">
        <v>21</v>
      </c>
      <c r="J569" s="8"/>
      <c r="K569" s="8"/>
      <c r="L569" s="11"/>
      <c r="M569" s="11"/>
      <c r="N569" s="11"/>
      <c r="O569" s="11">
        <f>L569*4</f>
        <v>0</v>
      </c>
      <c r="P569" s="11">
        <f>M569*4</f>
        <v>0</v>
      </c>
      <c r="Q569" s="11">
        <f>N569*4</f>
        <v>0</v>
      </c>
      <c r="R569" s="12">
        <f>(4/3)*3.14*(Q569/2)^3</f>
        <v>0</v>
      </c>
      <c r="S569" s="12">
        <f>R569/1000</f>
        <v>0</v>
      </c>
    </row>
    <row r="570" spans="1:19" x14ac:dyDescent="0.25">
      <c r="A570" s="7">
        <v>572</v>
      </c>
      <c r="B570" s="8" t="s">
        <v>285</v>
      </c>
      <c r="C570" s="8" t="s">
        <v>487</v>
      </c>
      <c r="D570" s="7" t="s">
        <v>737</v>
      </c>
      <c r="E570" s="8" t="s">
        <v>743</v>
      </c>
      <c r="F570" s="9">
        <v>5</v>
      </c>
      <c r="G570" s="10"/>
      <c r="H570" s="8" t="s">
        <v>20</v>
      </c>
      <c r="I570" s="8" t="s">
        <v>21</v>
      </c>
      <c r="J570" s="8"/>
      <c r="K570" s="8"/>
      <c r="L570" s="11"/>
      <c r="M570" s="11"/>
      <c r="N570" s="11"/>
      <c r="O570" s="11">
        <f>L570*4</f>
        <v>0</v>
      </c>
      <c r="P570" s="11">
        <f>M570*4</f>
        <v>0</v>
      </c>
      <c r="Q570" s="11">
        <f>N570*4</f>
        <v>0</v>
      </c>
      <c r="R570" s="12">
        <f>(4/3)*3.14*(Q570/2)^3</f>
        <v>0</v>
      </c>
      <c r="S570" s="12">
        <f>R570/1000</f>
        <v>0</v>
      </c>
    </row>
    <row r="571" spans="1:19" x14ac:dyDescent="0.25">
      <c r="A571" s="7">
        <v>573</v>
      </c>
      <c r="B571" s="8" t="s">
        <v>285</v>
      </c>
      <c r="C571" s="8" t="s">
        <v>488</v>
      </c>
      <c r="D571" s="7" t="s">
        <v>737</v>
      </c>
      <c r="E571" s="8" t="s">
        <v>743</v>
      </c>
      <c r="F571" s="9">
        <v>5</v>
      </c>
      <c r="G571" s="10"/>
      <c r="H571" s="8" t="s">
        <v>20</v>
      </c>
      <c r="I571" s="8" t="s">
        <v>21</v>
      </c>
      <c r="J571" s="8"/>
      <c r="K571" s="8"/>
      <c r="L571" s="11"/>
      <c r="M571" s="11"/>
      <c r="N571" s="11"/>
      <c r="O571" s="11">
        <f>L571*4</f>
        <v>0</v>
      </c>
      <c r="P571" s="11">
        <f>M571*4</f>
        <v>0</v>
      </c>
      <c r="Q571" s="11">
        <f>N571*4</f>
        <v>0</v>
      </c>
      <c r="R571" s="12">
        <f>(4/3)*3.14*(Q571/2)^3</f>
        <v>0</v>
      </c>
      <c r="S571" s="12">
        <f>R571/1000</f>
        <v>0</v>
      </c>
    </row>
    <row r="572" spans="1:19" x14ac:dyDescent="0.25">
      <c r="A572" s="7">
        <v>574</v>
      </c>
      <c r="B572" s="8" t="s">
        <v>285</v>
      </c>
      <c r="C572" s="8" t="s">
        <v>489</v>
      </c>
      <c r="D572" s="7" t="s">
        <v>737</v>
      </c>
      <c r="E572" s="8" t="s">
        <v>743</v>
      </c>
      <c r="F572" s="9">
        <v>5</v>
      </c>
      <c r="G572" s="10"/>
      <c r="H572" s="8" t="s">
        <v>54</v>
      </c>
      <c r="I572" s="8" t="s">
        <v>55</v>
      </c>
      <c r="J572" s="8"/>
      <c r="K572" s="8"/>
      <c r="L572" s="11"/>
      <c r="M572" s="11"/>
      <c r="N572" s="11"/>
      <c r="O572" s="11">
        <f>L572*4</f>
        <v>0</v>
      </c>
      <c r="P572" s="11">
        <f>M572*4</f>
        <v>0</v>
      </c>
      <c r="Q572" s="11">
        <f>N572*4</f>
        <v>0</v>
      </c>
      <c r="R572" s="12">
        <f>(4/3)*3.14*(Q572/2)^3</f>
        <v>0</v>
      </c>
      <c r="S572" s="12">
        <f>R572/1000</f>
        <v>0</v>
      </c>
    </row>
    <row r="573" spans="1:19" x14ac:dyDescent="0.25">
      <c r="A573" s="7">
        <v>575</v>
      </c>
      <c r="B573" s="8" t="s">
        <v>285</v>
      </c>
      <c r="C573" s="8" t="s">
        <v>490</v>
      </c>
      <c r="D573" s="7" t="s">
        <v>738</v>
      </c>
      <c r="E573" s="8" t="s">
        <v>743</v>
      </c>
      <c r="F573" s="9">
        <v>5</v>
      </c>
      <c r="G573" s="10"/>
      <c r="H573" s="8" t="s">
        <v>54</v>
      </c>
      <c r="I573" s="8" t="s">
        <v>55</v>
      </c>
      <c r="J573" s="8"/>
      <c r="K573" s="8"/>
      <c r="L573" s="11"/>
      <c r="M573" s="11"/>
      <c r="N573" s="11"/>
      <c r="O573" s="11">
        <f>L573*4</f>
        <v>0</v>
      </c>
      <c r="P573" s="11">
        <f>M573*4</f>
        <v>0</v>
      </c>
      <c r="Q573" s="11">
        <f>N573*4</f>
        <v>0</v>
      </c>
      <c r="R573" s="12">
        <f>(4/3)*3.14*(Q573/2)^3</f>
        <v>0</v>
      </c>
      <c r="S573" s="12">
        <f>R573/1000</f>
        <v>0</v>
      </c>
    </row>
    <row r="574" spans="1:19" x14ac:dyDescent="0.25">
      <c r="A574" s="7">
        <v>576</v>
      </c>
      <c r="B574" s="8" t="s">
        <v>285</v>
      </c>
      <c r="C574" s="8" t="s">
        <v>491</v>
      </c>
      <c r="D574" s="7" t="s">
        <v>738</v>
      </c>
      <c r="E574" s="8" t="s">
        <v>743</v>
      </c>
      <c r="F574" s="9">
        <v>5</v>
      </c>
      <c r="G574" s="10"/>
      <c r="H574" s="8" t="s">
        <v>154</v>
      </c>
      <c r="I574" s="8" t="s">
        <v>155</v>
      </c>
      <c r="J574" s="8"/>
      <c r="K574" s="8"/>
      <c r="L574" s="11"/>
      <c r="M574" s="11"/>
      <c r="N574" s="11"/>
      <c r="O574" s="11">
        <f>L574*4</f>
        <v>0</v>
      </c>
      <c r="P574" s="11">
        <f>M574*4</f>
        <v>0</v>
      </c>
      <c r="Q574" s="11">
        <f>N574*4</f>
        <v>0</v>
      </c>
      <c r="R574" s="12">
        <f>(4/3)*3.14*(Q574/2)^3</f>
        <v>0</v>
      </c>
      <c r="S574" s="12">
        <f>R574/1000</f>
        <v>0</v>
      </c>
    </row>
    <row r="575" spans="1:19" x14ac:dyDescent="0.25">
      <c r="A575" s="7">
        <v>577</v>
      </c>
      <c r="B575" s="8" t="s">
        <v>285</v>
      </c>
      <c r="C575" s="8" t="s">
        <v>492</v>
      </c>
      <c r="D575" s="7" t="s">
        <v>738</v>
      </c>
      <c r="E575" s="8" t="s">
        <v>743</v>
      </c>
      <c r="F575" s="9">
        <v>5</v>
      </c>
      <c r="G575" s="10"/>
      <c r="H575" s="8" t="s">
        <v>154</v>
      </c>
      <c r="I575" s="8" t="s">
        <v>155</v>
      </c>
      <c r="J575" s="8"/>
      <c r="K575" s="8"/>
      <c r="L575" s="11"/>
      <c r="M575" s="11"/>
      <c r="N575" s="11"/>
      <c r="O575" s="11">
        <f>L575*4</f>
        <v>0</v>
      </c>
      <c r="P575" s="11">
        <f>M575*4</f>
        <v>0</v>
      </c>
      <c r="Q575" s="11">
        <f>N575*4</f>
        <v>0</v>
      </c>
      <c r="R575" s="12">
        <f>(4/3)*3.14*(Q575/2)^3</f>
        <v>0</v>
      </c>
      <c r="S575" s="12">
        <f>R575/1000</f>
        <v>0</v>
      </c>
    </row>
    <row r="576" spans="1:19" x14ac:dyDescent="0.25">
      <c r="A576" s="7">
        <v>578</v>
      </c>
      <c r="B576" s="8" t="s">
        <v>285</v>
      </c>
      <c r="C576" s="8" t="s">
        <v>493</v>
      </c>
      <c r="D576" s="7" t="s">
        <v>738</v>
      </c>
      <c r="E576" s="8" t="s">
        <v>743</v>
      </c>
      <c r="F576" s="9">
        <v>5</v>
      </c>
      <c r="G576" s="10"/>
      <c r="H576" s="8" t="s">
        <v>154</v>
      </c>
      <c r="I576" s="8" t="s">
        <v>155</v>
      </c>
      <c r="J576" s="8"/>
      <c r="K576" s="8"/>
      <c r="L576" s="11"/>
      <c r="M576" s="11"/>
      <c r="N576" s="11"/>
      <c r="O576" s="11">
        <f>L576*4</f>
        <v>0</v>
      </c>
      <c r="P576" s="11">
        <f>M576*4</f>
        <v>0</v>
      </c>
      <c r="Q576" s="11">
        <f>N576*4</f>
        <v>0</v>
      </c>
      <c r="R576" s="12">
        <f>(4/3)*3.14*(Q576/2)^3</f>
        <v>0</v>
      </c>
      <c r="S576" s="12">
        <f>R576/1000</f>
        <v>0</v>
      </c>
    </row>
    <row r="577" spans="1:19" x14ac:dyDescent="0.25">
      <c r="A577" s="7">
        <v>579</v>
      </c>
      <c r="B577" s="8" t="s">
        <v>285</v>
      </c>
      <c r="C577" s="8" t="s">
        <v>494</v>
      </c>
      <c r="D577" s="7" t="s">
        <v>738</v>
      </c>
      <c r="E577" s="8" t="s">
        <v>743</v>
      </c>
      <c r="F577" s="9">
        <v>5</v>
      </c>
      <c r="G577" s="10"/>
      <c r="H577" s="8" t="s">
        <v>154</v>
      </c>
      <c r="I577" s="8" t="s">
        <v>155</v>
      </c>
      <c r="J577" s="8"/>
      <c r="K577" s="8"/>
      <c r="L577" s="11"/>
      <c r="M577" s="11"/>
      <c r="N577" s="11"/>
      <c r="O577" s="11">
        <f>L577*4</f>
        <v>0</v>
      </c>
      <c r="P577" s="11">
        <f>M577*4</f>
        <v>0</v>
      </c>
      <c r="Q577" s="11">
        <f>N577*4</f>
        <v>0</v>
      </c>
      <c r="R577" s="12">
        <f>(4/3)*3.14*(Q577/2)^3</f>
        <v>0</v>
      </c>
      <c r="S577" s="12">
        <f>R577/1000</f>
        <v>0</v>
      </c>
    </row>
    <row r="578" spans="1:19" x14ac:dyDescent="0.25">
      <c r="A578" s="7">
        <v>580</v>
      </c>
      <c r="B578" s="8" t="s">
        <v>285</v>
      </c>
      <c r="C578" s="8" t="s">
        <v>286</v>
      </c>
      <c r="D578" s="7" t="s">
        <v>739</v>
      </c>
      <c r="E578" s="8" t="s">
        <v>743</v>
      </c>
      <c r="F578" s="9">
        <v>4</v>
      </c>
      <c r="G578" s="10"/>
      <c r="H578" s="8" t="s">
        <v>20</v>
      </c>
      <c r="I578" s="8" t="s">
        <v>21</v>
      </c>
      <c r="J578" s="8"/>
      <c r="K578" s="8"/>
      <c r="L578" s="11"/>
      <c r="M578" s="11"/>
      <c r="N578" s="11"/>
      <c r="O578" s="11">
        <f>L578*4</f>
        <v>0</v>
      </c>
      <c r="P578" s="11">
        <f>M578*4</f>
        <v>0</v>
      </c>
      <c r="Q578" s="11">
        <f>N578*4</f>
        <v>0</v>
      </c>
      <c r="R578" s="12">
        <f>2/3*3.14*(Q578/2)^3</f>
        <v>0</v>
      </c>
      <c r="S578" s="12">
        <f>R578/1000</f>
        <v>0</v>
      </c>
    </row>
    <row r="579" spans="1:19" x14ac:dyDescent="0.25">
      <c r="A579" s="7">
        <v>581</v>
      </c>
      <c r="B579" s="8" t="s">
        <v>285</v>
      </c>
      <c r="C579" s="8" t="s">
        <v>287</v>
      </c>
      <c r="D579" s="7" t="s">
        <v>738</v>
      </c>
      <c r="E579" s="8" t="s">
        <v>743</v>
      </c>
      <c r="F579" s="9">
        <v>4</v>
      </c>
      <c r="G579" s="10"/>
      <c r="H579" s="8" t="s">
        <v>20</v>
      </c>
      <c r="I579" s="8" t="s">
        <v>21</v>
      </c>
      <c r="J579" s="8"/>
      <c r="K579" s="8"/>
      <c r="L579" s="11"/>
      <c r="M579" s="11"/>
      <c r="N579" s="11"/>
      <c r="O579" s="11">
        <f>L579*4</f>
        <v>0</v>
      </c>
      <c r="P579" s="11">
        <f>M579*4</f>
        <v>0</v>
      </c>
      <c r="Q579" s="11">
        <f>N579*4</f>
        <v>0</v>
      </c>
      <c r="R579" s="12">
        <f>2/3*3.14*(Q579/2)^3</f>
        <v>0</v>
      </c>
      <c r="S579" s="12">
        <f>R579/1000</f>
        <v>0</v>
      </c>
    </row>
    <row r="580" spans="1:19" x14ac:dyDescent="0.25">
      <c r="A580" s="7">
        <v>582</v>
      </c>
      <c r="B580" s="8" t="s">
        <v>285</v>
      </c>
      <c r="C580" s="8" t="s">
        <v>495</v>
      </c>
      <c r="D580" s="7" t="s">
        <v>738</v>
      </c>
      <c r="E580" s="8" t="s">
        <v>743</v>
      </c>
      <c r="F580" s="9">
        <v>5</v>
      </c>
      <c r="G580" s="10"/>
      <c r="H580" s="8" t="s">
        <v>154</v>
      </c>
      <c r="I580" s="8" t="s">
        <v>155</v>
      </c>
      <c r="J580" s="8"/>
      <c r="K580" s="8"/>
      <c r="L580" s="11"/>
      <c r="M580" s="11"/>
      <c r="N580" s="11"/>
      <c r="O580" s="11">
        <f>L580*4</f>
        <v>0</v>
      </c>
      <c r="P580" s="11">
        <f>M580*4</f>
        <v>0</v>
      </c>
      <c r="Q580" s="11">
        <f>N580*4</f>
        <v>0</v>
      </c>
      <c r="R580" s="12">
        <f>(4/3)*3.14*(Q580/2)^3</f>
        <v>0</v>
      </c>
      <c r="S580" s="12">
        <f>R580/1000</f>
        <v>0</v>
      </c>
    </row>
    <row r="581" spans="1:19" x14ac:dyDescent="0.25">
      <c r="A581" s="7">
        <v>583</v>
      </c>
      <c r="B581" s="8" t="s">
        <v>285</v>
      </c>
      <c r="C581" s="8" t="s">
        <v>536</v>
      </c>
      <c r="D581" s="7" t="s">
        <v>739</v>
      </c>
      <c r="E581" s="8" t="s">
        <v>743</v>
      </c>
      <c r="F581" s="9">
        <v>6</v>
      </c>
      <c r="G581" s="10"/>
      <c r="H581" s="8" t="s">
        <v>352</v>
      </c>
      <c r="I581" s="8" t="s">
        <v>155</v>
      </c>
      <c r="J581" s="8"/>
      <c r="K581" s="8"/>
      <c r="L581" s="11"/>
      <c r="M581" s="11"/>
      <c r="N581" s="11"/>
      <c r="O581" s="11">
        <f>L581*4</f>
        <v>0</v>
      </c>
      <c r="P581" s="11">
        <f>M581*4</f>
        <v>0</v>
      </c>
      <c r="Q581" s="11">
        <f>N581*4</f>
        <v>0</v>
      </c>
      <c r="R581" s="12">
        <f>(4/3)*3.14*(Q581/2)^3</f>
        <v>0</v>
      </c>
      <c r="S581" s="12">
        <f>R581/1000</f>
        <v>0</v>
      </c>
    </row>
    <row r="582" spans="1:19" x14ac:dyDescent="0.25">
      <c r="A582" s="7">
        <v>584</v>
      </c>
      <c r="B582" s="8" t="s">
        <v>285</v>
      </c>
      <c r="C582" s="8" t="s">
        <v>537</v>
      </c>
      <c r="D582" s="7" t="s">
        <v>738</v>
      </c>
      <c r="E582" s="8" t="s">
        <v>743</v>
      </c>
      <c r="F582" s="9">
        <v>6</v>
      </c>
      <c r="G582" s="10"/>
      <c r="H582" s="8" t="s">
        <v>352</v>
      </c>
      <c r="I582" s="8" t="s">
        <v>155</v>
      </c>
      <c r="J582" s="8"/>
      <c r="K582" s="8"/>
      <c r="L582" s="11"/>
      <c r="M582" s="11"/>
      <c r="N582" s="11"/>
      <c r="O582" s="11">
        <f>L582*4</f>
        <v>0</v>
      </c>
      <c r="P582" s="11">
        <f>M582*4</f>
        <v>0</v>
      </c>
      <c r="Q582" s="11">
        <f>N582*4</f>
        <v>0</v>
      </c>
      <c r="R582" s="12">
        <f>(4/3)*3.14*(Q582/2)^3</f>
        <v>0</v>
      </c>
      <c r="S582" s="12">
        <f>R582/1000</f>
        <v>0</v>
      </c>
    </row>
    <row r="583" spans="1:19" x14ac:dyDescent="0.25">
      <c r="A583" s="7">
        <v>585</v>
      </c>
      <c r="B583" s="8" t="s">
        <v>285</v>
      </c>
      <c r="C583" s="8" t="s">
        <v>496</v>
      </c>
      <c r="D583" s="7" t="s">
        <v>738</v>
      </c>
      <c r="E583" s="8" t="s">
        <v>743</v>
      </c>
      <c r="F583" s="9">
        <v>5</v>
      </c>
      <c r="G583" s="10"/>
      <c r="H583" s="8" t="s">
        <v>154</v>
      </c>
      <c r="I583" s="8" t="s">
        <v>155</v>
      </c>
      <c r="J583" s="8"/>
      <c r="K583" s="8"/>
      <c r="L583" s="11"/>
      <c r="M583" s="11"/>
      <c r="N583" s="11"/>
      <c r="O583" s="11">
        <f>L583*4</f>
        <v>0</v>
      </c>
      <c r="P583" s="11">
        <f>M583*4</f>
        <v>0</v>
      </c>
      <c r="Q583" s="11">
        <f>N583*4</f>
        <v>0</v>
      </c>
      <c r="R583" s="12">
        <f>(4/3)*3.14*(Q583/2)^3</f>
        <v>0</v>
      </c>
      <c r="S583" s="12">
        <f>R583/1000</f>
        <v>0</v>
      </c>
    </row>
    <row r="584" spans="1:19" x14ac:dyDescent="0.25">
      <c r="A584" s="7">
        <v>586</v>
      </c>
      <c r="B584" s="8" t="s">
        <v>285</v>
      </c>
      <c r="C584" s="8" t="s">
        <v>497</v>
      </c>
      <c r="D584" s="7" t="s">
        <v>739</v>
      </c>
      <c r="E584" s="8" t="s">
        <v>743</v>
      </c>
      <c r="F584" s="9">
        <v>5</v>
      </c>
      <c r="G584" s="10"/>
      <c r="H584" s="8" t="s">
        <v>313</v>
      </c>
      <c r="I584" s="8" t="s">
        <v>313</v>
      </c>
      <c r="J584" s="8"/>
      <c r="K584" s="8"/>
      <c r="L584" s="11"/>
      <c r="M584" s="11"/>
      <c r="N584" s="11"/>
      <c r="O584" s="11">
        <f>L584*4</f>
        <v>0</v>
      </c>
      <c r="P584" s="11">
        <f>M584*4</f>
        <v>0</v>
      </c>
      <c r="Q584" s="11">
        <f>N584*4</f>
        <v>0</v>
      </c>
      <c r="R584" s="12">
        <f>(4/3)*3.14*(Q584/2)^3</f>
        <v>0</v>
      </c>
      <c r="S584" s="12">
        <f>R584/1000</f>
        <v>0</v>
      </c>
    </row>
    <row r="585" spans="1:19" x14ac:dyDescent="0.25">
      <c r="A585" s="7">
        <v>587</v>
      </c>
      <c r="B585" s="8" t="s">
        <v>285</v>
      </c>
      <c r="C585" s="8" t="s">
        <v>288</v>
      </c>
      <c r="D585" s="7" t="s">
        <v>739</v>
      </c>
      <c r="E585" s="8" t="s">
        <v>743</v>
      </c>
      <c r="F585" s="9">
        <v>4</v>
      </c>
      <c r="G585" s="10"/>
      <c r="H585" s="8" t="s">
        <v>86</v>
      </c>
      <c r="I585" s="8" t="s">
        <v>86</v>
      </c>
      <c r="J585" s="8"/>
      <c r="K585" s="8"/>
      <c r="L585" s="11"/>
      <c r="M585" s="11"/>
      <c r="N585" s="11"/>
      <c r="O585" s="11">
        <f>L585*4</f>
        <v>0</v>
      </c>
      <c r="P585" s="11">
        <f>M585*4</f>
        <v>0</v>
      </c>
      <c r="Q585" s="11">
        <f>N585*4</f>
        <v>0</v>
      </c>
      <c r="R585" s="12">
        <f>2/3*3.14*(Q585/2)^3</f>
        <v>0</v>
      </c>
      <c r="S585" s="12">
        <f>R585/1000</f>
        <v>0</v>
      </c>
    </row>
    <row r="586" spans="1:19" x14ac:dyDescent="0.25">
      <c r="A586" s="7">
        <v>588</v>
      </c>
      <c r="B586" s="8" t="s">
        <v>285</v>
      </c>
      <c r="C586" s="8" t="s">
        <v>538</v>
      </c>
      <c r="D586" s="7" t="s">
        <v>738</v>
      </c>
      <c r="E586" s="8" t="s">
        <v>743</v>
      </c>
      <c r="F586" s="9">
        <v>6</v>
      </c>
      <c r="G586" s="10"/>
      <c r="H586" s="8" t="s">
        <v>154</v>
      </c>
      <c r="I586" s="8" t="s">
        <v>155</v>
      </c>
      <c r="J586" s="8"/>
      <c r="K586" s="8"/>
      <c r="L586" s="11"/>
      <c r="M586" s="11"/>
      <c r="N586" s="11"/>
      <c r="O586" s="11">
        <f>L586*4</f>
        <v>0</v>
      </c>
      <c r="P586" s="11">
        <f>M586*4</f>
        <v>0</v>
      </c>
      <c r="Q586" s="11">
        <f>N586*4</f>
        <v>0</v>
      </c>
      <c r="R586" s="12">
        <f>(4/3)*3.14*(Q586/2)^3</f>
        <v>0</v>
      </c>
      <c r="S586" s="12">
        <f>R586/1000</f>
        <v>0</v>
      </c>
    </row>
    <row r="587" spans="1:19" x14ac:dyDescent="0.25">
      <c r="A587" s="7">
        <v>589</v>
      </c>
      <c r="B587" s="8" t="s">
        <v>77</v>
      </c>
      <c r="C587" s="8" t="s">
        <v>78</v>
      </c>
      <c r="D587" s="7" t="s">
        <v>740</v>
      </c>
      <c r="E587" s="8" t="s">
        <v>743</v>
      </c>
      <c r="F587" s="9">
        <v>1</v>
      </c>
      <c r="G587" s="10"/>
      <c r="I587" s="8"/>
      <c r="J587" s="8"/>
      <c r="K587" s="8"/>
      <c r="L587" s="11"/>
      <c r="M587" s="11"/>
      <c r="N587" s="11"/>
      <c r="O587" s="11">
        <f>L587*4</f>
        <v>0</v>
      </c>
      <c r="P587" s="11">
        <f>M587*4</f>
        <v>0</v>
      </c>
      <c r="Q587" s="11">
        <f>N587*4</f>
        <v>0</v>
      </c>
      <c r="R587" s="12">
        <f>(1/3)*3.14*P587^2*(3*(Q587/2)-P587)</f>
        <v>0</v>
      </c>
      <c r="S587" s="12">
        <f>R587/1000</f>
        <v>0</v>
      </c>
    </row>
    <row r="588" spans="1:19" x14ac:dyDescent="0.25">
      <c r="A588" s="7">
        <v>590</v>
      </c>
      <c r="B588" s="8" t="s">
        <v>77</v>
      </c>
      <c r="C588" s="8" t="s">
        <v>176</v>
      </c>
      <c r="D588" s="7" t="s">
        <v>740</v>
      </c>
      <c r="E588" s="8" t="s">
        <v>743</v>
      </c>
      <c r="F588" s="9">
        <v>4</v>
      </c>
      <c r="G588" s="10"/>
      <c r="I588" s="8"/>
      <c r="J588" s="8"/>
      <c r="K588" s="8"/>
      <c r="L588" s="11"/>
      <c r="M588" s="11"/>
      <c r="N588" s="11"/>
      <c r="O588" s="11">
        <f>L588*4</f>
        <v>0</v>
      </c>
      <c r="P588" s="11">
        <f>M588*4</f>
        <v>0</v>
      </c>
      <c r="Q588" s="11">
        <f>N588*4</f>
        <v>0</v>
      </c>
      <c r="R588" s="12">
        <f>2/3*3.14*(Q588/2)^3</f>
        <v>0</v>
      </c>
      <c r="S588" s="12">
        <f>R588/1000</f>
        <v>0</v>
      </c>
    </row>
    <row r="589" spans="1:19" x14ac:dyDescent="0.25">
      <c r="A589" s="7">
        <v>591</v>
      </c>
      <c r="B589" s="8" t="s">
        <v>77</v>
      </c>
      <c r="C589" s="8" t="s">
        <v>79</v>
      </c>
      <c r="D589" s="7" t="s">
        <v>740</v>
      </c>
      <c r="E589" s="8" t="s">
        <v>743</v>
      </c>
      <c r="F589" s="9">
        <v>1</v>
      </c>
      <c r="G589" s="10"/>
      <c r="I589" s="8"/>
      <c r="J589" s="8"/>
      <c r="K589" s="8"/>
      <c r="L589" s="11"/>
      <c r="M589" s="11"/>
      <c r="N589" s="11"/>
      <c r="O589" s="11">
        <f>L589*4</f>
        <v>0</v>
      </c>
      <c r="P589" s="11">
        <f>M589*4</f>
        <v>0</v>
      </c>
      <c r="Q589" s="11">
        <f>N589*4</f>
        <v>0</v>
      </c>
      <c r="R589" s="12">
        <f>(1/3)*3.14*P589^2*(3*(Q589/2)-P589)</f>
        <v>0</v>
      </c>
      <c r="S589" s="12">
        <f>R589/1000</f>
        <v>0</v>
      </c>
    </row>
    <row r="590" spans="1:19" x14ac:dyDescent="0.25">
      <c r="A590" s="7">
        <v>592</v>
      </c>
      <c r="B590" s="8" t="s">
        <v>77</v>
      </c>
      <c r="C590" s="8" t="s">
        <v>142</v>
      </c>
      <c r="D590" s="7" t="s">
        <v>740</v>
      </c>
      <c r="E590" s="8" t="s">
        <v>743</v>
      </c>
      <c r="F590" s="9">
        <v>2</v>
      </c>
      <c r="G590" s="10"/>
      <c r="I590" s="8"/>
      <c r="J590" s="8"/>
      <c r="K590" s="8"/>
      <c r="L590" s="11"/>
      <c r="M590" s="11"/>
      <c r="N590" s="11"/>
      <c r="O590" s="11">
        <f>L590*4</f>
        <v>0</v>
      </c>
      <c r="P590" s="11">
        <f>M590*4</f>
        <v>0</v>
      </c>
      <c r="Q590" s="11">
        <f>N590*4</f>
        <v>0</v>
      </c>
      <c r="R590" s="12">
        <f>(1/3)*3.14*P590^2*(3*(Q590/2)-P590)</f>
        <v>0</v>
      </c>
      <c r="S590" s="12">
        <f>R590/1000</f>
        <v>0</v>
      </c>
    </row>
    <row r="591" spans="1:19" x14ac:dyDescent="0.25">
      <c r="A591" s="7">
        <v>593</v>
      </c>
      <c r="B591" s="8" t="s">
        <v>77</v>
      </c>
      <c r="C591" s="8" t="s">
        <v>143</v>
      </c>
      <c r="D591" s="7" t="s">
        <v>740</v>
      </c>
      <c r="E591" s="8" t="s">
        <v>743</v>
      </c>
      <c r="F591" s="9">
        <v>2</v>
      </c>
      <c r="G591" s="10"/>
      <c r="I591" s="8"/>
      <c r="J591" s="8"/>
      <c r="K591" s="8"/>
      <c r="L591" s="11"/>
      <c r="M591" s="11"/>
      <c r="N591" s="11"/>
      <c r="O591" s="11">
        <f>L591*4</f>
        <v>0</v>
      </c>
      <c r="P591" s="11">
        <f>M591*4</f>
        <v>0</v>
      </c>
      <c r="Q591" s="11">
        <f>N591*4</f>
        <v>0</v>
      </c>
      <c r="R591" s="12">
        <f>(1/3)*3.14*P591^2*(3*(Q591/2)-P591)</f>
        <v>0</v>
      </c>
      <c r="S591" s="12">
        <f>R591/1000</f>
        <v>0</v>
      </c>
    </row>
    <row r="592" spans="1:19" x14ac:dyDescent="0.25">
      <c r="A592" s="7">
        <v>594</v>
      </c>
      <c r="B592" s="8" t="s">
        <v>77</v>
      </c>
      <c r="C592" s="8" t="s">
        <v>144</v>
      </c>
      <c r="D592" s="7" t="s">
        <v>740</v>
      </c>
      <c r="E592" s="8" t="s">
        <v>743</v>
      </c>
      <c r="F592" s="9">
        <v>2</v>
      </c>
      <c r="G592" s="10"/>
      <c r="I592" s="8"/>
      <c r="J592" s="8"/>
      <c r="K592" s="8"/>
      <c r="L592" s="11"/>
      <c r="M592" s="11"/>
      <c r="N592" s="11"/>
      <c r="O592" s="11">
        <f>L592*4</f>
        <v>0</v>
      </c>
      <c r="P592" s="11">
        <f>M592*4</f>
        <v>0</v>
      </c>
      <c r="Q592" s="11">
        <f>N592*4</f>
        <v>0</v>
      </c>
      <c r="R592" s="12">
        <f>(1/3)*3.14*P592^2*(3*(Q592/2)-P592)</f>
        <v>0</v>
      </c>
      <c r="S592" s="12">
        <f>R592/1000</f>
        <v>0</v>
      </c>
    </row>
    <row r="593" spans="1:19" x14ac:dyDescent="0.25">
      <c r="A593" s="7">
        <v>595</v>
      </c>
      <c r="B593" s="8" t="s">
        <v>77</v>
      </c>
      <c r="C593" s="8" t="s">
        <v>145</v>
      </c>
      <c r="D593" s="7" t="s">
        <v>740</v>
      </c>
      <c r="E593" s="8" t="s">
        <v>743</v>
      </c>
      <c r="F593" s="9">
        <v>2</v>
      </c>
      <c r="G593" s="10"/>
      <c r="I593" s="8"/>
      <c r="J593" s="8"/>
      <c r="K593" s="8"/>
      <c r="L593" s="11"/>
      <c r="M593" s="11"/>
      <c r="N593" s="11"/>
      <c r="O593" s="11">
        <f>L593*4</f>
        <v>0</v>
      </c>
      <c r="P593" s="11">
        <f>M593*4</f>
        <v>0</v>
      </c>
      <c r="Q593" s="11">
        <f>N593*4</f>
        <v>0</v>
      </c>
      <c r="R593" s="12">
        <f>(1/3)*3.14*P593^2*(3*(Q593/2)-P593)</f>
        <v>0</v>
      </c>
      <c r="S593" s="12">
        <f>R593/1000</f>
        <v>0</v>
      </c>
    </row>
    <row r="594" spans="1:19" x14ac:dyDescent="0.25">
      <c r="A594" s="7">
        <v>596</v>
      </c>
      <c r="B594" s="8" t="s">
        <v>77</v>
      </c>
      <c r="C594" s="8" t="s">
        <v>289</v>
      </c>
      <c r="D594" s="7" t="s">
        <v>740</v>
      </c>
      <c r="E594" s="8" t="s">
        <v>743</v>
      </c>
      <c r="F594" s="9">
        <v>4</v>
      </c>
      <c r="G594" s="10"/>
      <c r="I594" s="8"/>
      <c r="J594" s="8"/>
      <c r="K594" s="8"/>
      <c r="L594" s="11"/>
      <c r="M594" s="11"/>
      <c r="N594" s="11"/>
      <c r="O594" s="11">
        <f>L594*4</f>
        <v>0</v>
      </c>
      <c r="P594" s="11">
        <f>M594*4</f>
        <v>0</v>
      </c>
      <c r="Q594" s="11">
        <f>N594*4</f>
        <v>0</v>
      </c>
      <c r="R594" s="12">
        <f>2/3*3.14*(Q594/2)^3</f>
        <v>0</v>
      </c>
      <c r="S594" s="12">
        <f>R594/1000</f>
        <v>0</v>
      </c>
    </row>
    <row r="595" spans="1:19" x14ac:dyDescent="0.25">
      <c r="A595" s="7">
        <v>597</v>
      </c>
      <c r="B595" s="8" t="s">
        <v>77</v>
      </c>
      <c r="C595" s="8" t="s">
        <v>539</v>
      </c>
      <c r="D595" s="7" t="s">
        <v>740</v>
      </c>
      <c r="E595" s="8" t="s">
        <v>743</v>
      </c>
      <c r="F595" s="9">
        <v>6</v>
      </c>
      <c r="G595" s="10"/>
      <c r="I595" s="8"/>
      <c r="J595" s="8"/>
      <c r="K595" s="8"/>
      <c r="L595" s="11"/>
      <c r="M595" s="11"/>
      <c r="N595" s="11"/>
      <c r="O595" s="11">
        <f>L595*4</f>
        <v>0</v>
      </c>
      <c r="P595" s="11">
        <f>M595*4</f>
        <v>0</v>
      </c>
      <c r="Q595" s="11">
        <f>N595*4</f>
        <v>0</v>
      </c>
      <c r="R595" s="12">
        <f>(4/3)*3.14*(Q595/2)^3</f>
        <v>0</v>
      </c>
      <c r="S595" s="12">
        <f>R595/1000</f>
        <v>0</v>
      </c>
    </row>
    <row r="596" spans="1:19" x14ac:dyDescent="0.25">
      <c r="A596" s="7">
        <v>598</v>
      </c>
      <c r="B596" s="8" t="s">
        <v>77</v>
      </c>
      <c r="C596" s="8" t="s">
        <v>498</v>
      </c>
      <c r="D596" s="7" t="s">
        <v>740</v>
      </c>
      <c r="E596" s="8" t="s">
        <v>743</v>
      </c>
      <c r="F596" s="9">
        <v>5</v>
      </c>
      <c r="G596" s="10"/>
      <c r="I596" s="8"/>
      <c r="J596" s="8"/>
      <c r="K596" s="8"/>
      <c r="L596" s="11"/>
      <c r="M596" s="11"/>
      <c r="N596" s="11"/>
      <c r="O596" s="11">
        <f>L596*4</f>
        <v>0</v>
      </c>
      <c r="P596" s="11">
        <f>M596*4</f>
        <v>0</v>
      </c>
      <c r="Q596" s="11">
        <f>N596*4</f>
        <v>0</v>
      </c>
      <c r="R596" s="12">
        <f>(4/3)*3.14*(Q596/2)^3</f>
        <v>0</v>
      </c>
      <c r="S596" s="12">
        <f>R596/1000</f>
        <v>0</v>
      </c>
    </row>
    <row r="597" spans="1:19" x14ac:dyDescent="0.25">
      <c r="A597" s="7">
        <v>599</v>
      </c>
      <c r="B597" s="8" t="s">
        <v>77</v>
      </c>
      <c r="C597" s="8" t="s">
        <v>499</v>
      </c>
      <c r="D597" s="7" t="s">
        <v>740</v>
      </c>
      <c r="E597" s="8" t="s">
        <v>743</v>
      </c>
      <c r="F597" s="9">
        <v>5</v>
      </c>
      <c r="G597" s="10"/>
      <c r="I597" s="8"/>
      <c r="J597" s="8"/>
      <c r="K597" s="8"/>
      <c r="L597" s="11"/>
      <c r="M597" s="11"/>
      <c r="N597" s="11"/>
      <c r="O597" s="11">
        <f>L597*4</f>
        <v>0</v>
      </c>
      <c r="P597" s="11">
        <f>M597*4</f>
        <v>0</v>
      </c>
      <c r="Q597" s="11">
        <f>N597*4</f>
        <v>0</v>
      </c>
      <c r="R597" s="12">
        <f>(4/3)*3.14*(Q597/2)^3</f>
        <v>0</v>
      </c>
      <c r="S597" s="12">
        <f>R597/1000</f>
        <v>0</v>
      </c>
    </row>
    <row r="598" spans="1:19" x14ac:dyDescent="0.25">
      <c r="A598" s="7">
        <v>600</v>
      </c>
      <c r="B598" s="8" t="s">
        <v>77</v>
      </c>
      <c r="C598" s="8" t="s">
        <v>500</v>
      </c>
      <c r="D598" s="7" t="s">
        <v>740</v>
      </c>
      <c r="E598" s="8" t="s">
        <v>743</v>
      </c>
      <c r="F598" s="9">
        <v>5</v>
      </c>
      <c r="G598" s="10"/>
      <c r="I598" s="8"/>
      <c r="J598" s="8"/>
      <c r="K598" s="8"/>
      <c r="L598" s="11"/>
      <c r="M598" s="11"/>
      <c r="N598" s="11"/>
      <c r="O598" s="11">
        <f>L598*4</f>
        <v>0</v>
      </c>
      <c r="P598" s="11">
        <f>M598*4</f>
        <v>0</v>
      </c>
      <c r="Q598" s="11">
        <f>N598*4</f>
        <v>0</v>
      </c>
      <c r="R598" s="12">
        <f>(4/3)*3.14*(Q598/2)^3</f>
        <v>0</v>
      </c>
      <c r="S598" s="12">
        <f>R598/1000</f>
        <v>0</v>
      </c>
    </row>
    <row r="599" spans="1:19" x14ac:dyDescent="0.25">
      <c r="A599" s="7">
        <v>601</v>
      </c>
      <c r="B599" s="8" t="s">
        <v>77</v>
      </c>
      <c r="C599" s="8" t="s">
        <v>501</v>
      </c>
      <c r="D599" s="7" t="s">
        <v>740</v>
      </c>
      <c r="E599" s="8" t="s">
        <v>743</v>
      </c>
      <c r="F599" s="9">
        <v>5</v>
      </c>
      <c r="G599" s="10"/>
      <c r="I599" s="8"/>
      <c r="J599" s="8"/>
      <c r="K599" s="8"/>
      <c r="L599" s="11"/>
      <c r="M599" s="11"/>
      <c r="N599" s="11"/>
      <c r="O599" s="11">
        <f>L599*4</f>
        <v>0</v>
      </c>
      <c r="P599" s="11">
        <f>M599*4</f>
        <v>0</v>
      </c>
      <c r="Q599" s="11">
        <f>N599*4</f>
        <v>0</v>
      </c>
      <c r="R599" s="12">
        <f>(4/3)*3.14*(Q599/2)^3</f>
        <v>0</v>
      </c>
      <c r="S599" s="12">
        <f>R599/1000</f>
        <v>0</v>
      </c>
    </row>
    <row r="600" spans="1:19" x14ac:dyDescent="0.25">
      <c r="A600" s="7">
        <v>602</v>
      </c>
      <c r="B600" s="8" t="s">
        <v>77</v>
      </c>
      <c r="C600" s="8" t="s">
        <v>290</v>
      </c>
      <c r="D600" s="7" t="s">
        <v>740</v>
      </c>
      <c r="E600" s="8" t="s">
        <v>743</v>
      </c>
      <c r="F600" s="9">
        <v>4</v>
      </c>
      <c r="G600" s="10"/>
      <c r="I600" s="8"/>
      <c r="J600" s="8"/>
      <c r="K600" s="8"/>
      <c r="L600" s="11"/>
      <c r="M600" s="11"/>
      <c r="N600" s="11"/>
      <c r="O600" s="11">
        <f>L600*4</f>
        <v>0</v>
      </c>
      <c r="P600" s="11">
        <f>M600*4</f>
        <v>0</v>
      </c>
      <c r="Q600" s="11">
        <f>N600*4</f>
        <v>0</v>
      </c>
      <c r="R600" s="12">
        <f>2/3*3.14*(Q600/2)^3</f>
        <v>0</v>
      </c>
      <c r="S600" s="12">
        <f>R600/1000</f>
        <v>0</v>
      </c>
    </row>
    <row r="601" spans="1:19" x14ac:dyDescent="0.25">
      <c r="A601" s="7">
        <v>603</v>
      </c>
      <c r="B601" s="8" t="s">
        <v>77</v>
      </c>
      <c r="C601" s="8" t="s">
        <v>540</v>
      </c>
      <c r="D601" s="7" t="s">
        <v>740</v>
      </c>
      <c r="E601" s="8" t="s">
        <v>743</v>
      </c>
      <c r="F601" s="9">
        <v>6</v>
      </c>
      <c r="G601" s="10"/>
      <c r="I601" s="8"/>
      <c r="J601" s="8"/>
      <c r="K601" s="8"/>
      <c r="L601" s="11"/>
      <c r="M601" s="11"/>
      <c r="N601" s="11"/>
      <c r="O601" s="11">
        <f>L601*4</f>
        <v>0</v>
      </c>
      <c r="P601" s="11">
        <f>M601*4</f>
        <v>0</v>
      </c>
      <c r="Q601" s="11">
        <f>N601*4</f>
        <v>0</v>
      </c>
      <c r="R601" s="12">
        <f>(4/3)*3.14*(Q601/2)^3</f>
        <v>0</v>
      </c>
      <c r="S601" s="12">
        <f>R601/1000</f>
        <v>0</v>
      </c>
    </row>
    <row r="602" spans="1:19" x14ac:dyDescent="0.25">
      <c r="A602" s="7">
        <v>604</v>
      </c>
      <c r="B602" s="8" t="s">
        <v>77</v>
      </c>
      <c r="C602" s="8" t="s">
        <v>502</v>
      </c>
      <c r="D602" s="7" t="s">
        <v>740</v>
      </c>
      <c r="E602" s="8" t="s">
        <v>743</v>
      </c>
      <c r="F602" s="9">
        <v>5</v>
      </c>
      <c r="G602" s="10"/>
      <c r="I602" s="8"/>
      <c r="J602" s="8"/>
      <c r="K602" s="8"/>
      <c r="L602" s="11"/>
      <c r="M602" s="11"/>
      <c r="N602" s="11"/>
      <c r="O602" s="11">
        <f>L602*4</f>
        <v>0</v>
      </c>
      <c r="P602" s="11">
        <f>M602*4</f>
        <v>0</v>
      </c>
      <c r="Q602" s="11">
        <f>N602*4</f>
        <v>0</v>
      </c>
      <c r="R602" s="12">
        <f>(4/3)*3.14*(Q602/2)^3</f>
        <v>0</v>
      </c>
      <c r="S602" s="12">
        <f>R602/1000</f>
        <v>0</v>
      </c>
    </row>
    <row r="603" spans="1:19" x14ac:dyDescent="0.25">
      <c r="A603" s="7">
        <v>605</v>
      </c>
      <c r="B603" s="8" t="s">
        <v>77</v>
      </c>
      <c r="C603" s="8" t="s">
        <v>541</v>
      </c>
      <c r="D603" s="7" t="s">
        <v>740</v>
      </c>
      <c r="E603" s="8" t="s">
        <v>743</v>
      </c>
      <c r="F603" s="9">
        <v>6</v>
      </c>
      <c r="G603" s="10"/>
      <c r="I603" s="8"/>
      <c r="J603" s="8"/>
      <c r="K603" s="8"/>
      <c r="L603" s="11"/>
      <c r="M603" s="11"/>
      <c r="N603" s="11"/>
      <c r="O603" s="11">
        <f>L603*4</f>
        <v>0</v>
      </c>
      <c r="P603" s="11">
        <f>M603*4</f>
        <v>0</v>
      </c>
      <c r="Q603" s="11">
        <f>N603*4</f>
        <v>0</v>
      </c>
      <c r="R603" s="12">
        <f>(4/3)*3.14*(Q603/2)^3</f>
        <v>0</v>
      </c>
      <c r="S603" s="12">
        <f>R603/1000</f>
        <v>0</v>
      </c>
    </row>
    <row r="604" spans="1:19" x14ac:dyDescent="0.25">
      <c r="A604" s="7">
        <v>606</v>
      </c>
      <c r="B604" s="8" t="s">
        <v>146</v>
      </c>
      <c r="C604" s="8" t="s">
        <v>147</v>
      </c>
      <c r="D604" s="7" t="s">
        <v>741</v>
      </c>
      <c r="E604" s="8" t="s">
        <v>743</v>
      </c>
      <c r="F604" s="9">
        <v>2</v>
      </c>
      <c r="G604" s="10" t="s">
        <v>25</v>
      </c>
      <c r="H604" s="8" t="s">
        <v>54</v>
      </c>
      <c r="I604" s="8" t="s">
        <v>55</v>
      </c>
      <c r="J604" s="8"/>
      <c r="K604" s="8"/>
      <c r="L604" s="11">
        <v>7.6</v>
      </c>
      <c r="M604" s="11">
        <v>3.1</v>
      </c>
      <c r="N604" s="11">
        <v>7.6</v>
      </c>
      <c r="O604" s="11">
        <f>L604*4</f>
        <v>30.4</v>
      </c>
      <c r="P604" s="11">
        <f>M604*4</f>
        <v>12.4</v>
      </c>
      <c r="Q604" s="11">
        <f>N604*4</f>
        <v>30.4</v>
      </c>
      <c r="R604" s="12">
        <f>(1/3)*3.14*P604^2*(3*(Q604/2)-P604)</f>
        <v>5343.0574933333328</v>
      </c>
      <c r="S604" s="12">
        <f>R604/1000</f>
        <v>5.3430574933333324</v>
      </c>
    </row>
    <row r="605" spans="1:19" x14ac:dyDescent="0.25">
      <c r="A605" s="7">
        <v>607</v>
      </c>
      <c r="B605" s="8" t="s">
        <v>146</v>
      </c>
      <c r="C605" s="8" t="s">
        <v>148</v>
      </c>
      <c r="D605" s="7" t="s">
        <v>741</v>
      </c>
      <c r="E605" s="8" t="s">
        <v>743</v>
      </c>
      <c r="F605" s="9">
        <v>2</v>
      </c>
      <c r="G605" s="10" t="s">
        <v>33</v>
      </c>
      <c r="H605" s="8" t="s">
        <v>100</v>
      </c>
      <c r="I605" s="8" t="s">
        <v>21</v>
      </c>
      <c r="J605" s="8"/>
      <c r="K605" s="8"/>
      <c r="L605" s="11">
        <v>12.4</v>
      </c>
      <c r="M605" s="11">
        <v>4.8</v>
      </c>
      <c r="N605" s="11">
        <v>12.4</v>
      </c>
      <c r="O605" s="11">
        <f>L605*4</f>
        <v>49.6</v>
      </c>
      <c r="P605" s="11">
        <f>M605*4</f>
        <v>19.2</v>
      </c>
      <c r="Q605" s="11">
        <f>N605*4</f>
        <v>49.6</v>
      </c>
      <c r="R605" s="12">
        <f>(1/3)*3.14*P605^2*(3*(Q605/2)-P605)</f>
        <v>21298.54464</v>
      </c>
      <c r="S605" s="12">
        <f>R605/1000</f>
        <v>21.298544639999999</v>
      </c>
    </row>
    <row r="606" spans="1:19" x14ac:dyDescent="0.25">
      <c r="A606" s="7">
        <v>608</v>
      </c>
      <c r="B606" s="8" t="s">
        <v>146</v>
      </c>
      <c r="C606" s="8" t="s">
        <v>149</v>
      </c>
      <c r="D606" s="7" t="s">
        <v>741</v>
      </c>
      <c r="E606" s="8" t="s">
        <v>743</v>
      </c>
      <c r="F606" s="9">
        <v>2</v>
      </c>
      <c r="G606" s="10" t="s">
        <v>33</v>
      </c>
      <c r="H606" s="8" t="s">
        <v>20</v>
      </c>
      <c r="I606" s="8" t="s">
        <v>21</v>
      </c>
      <c r="J606" s="8"/>
      <c r="K606" s="8"/>
      <c r="L606" s="11">
        <v>12.2</v>
      </c>
      <c r="M606" s="11">
        <v>4.8</v>
      </c>
      <c r="N606" s="11">
        <v>12.2</v>
      </c>
      <c r="O606" s="11">
        <f>L606*4</f>
        <v>48.8</v>
      </c>
      <c r="P606" s="11">
        <f>M606*4</f>
        <v>19.2</v>
      </c>
      <c r="Q606" s="11">
        <f>N606*4</f>
        <v>48.8</v>
      </c>
      <c r="R606" s="12">
        <f>(1/3)*3.14*P606^2*(3*(Q606/2)-P606)</f>
        <v>20835.532799999994</v>
      </c>
      <c r="S606" s="12">
        <f>R606/1000</f>
        <v>20.835532799999992</v>
      </c>
    </row>
    <row r="607" spans="1:19" x14ac:dyDescent="0.25">
      <c r="A607" s="7">
        <v>609</v>
      </c>
      <c r="B607" s="8" t="s">
        <v>146</v>
      </c>
      <c r="C607" s="8" t="s">
        <v>503</v>
      </c>
      <c r="D607" s="7" t="s">
        <v>741</v>
      </c>
      <c r="E607" s="8" t="s">
        <v>743</v>
      </c>
      <c r="F607" s="9">
        <v>5</v>
      </c>
      <c r="G607" s="10" t="s">
        <v>33</v>
      </c>
      <c r="H607" s="8" t="s">
        <v>154</v>
      </c>
      <c r="I607" s="8" t="s">
        <v>155</v>
      </c>
      <c r="J607" s="8"/>
      <c r="K607" s="8"/>
      <c r="L607" s="11">
        <v>5</v>
      </c>
      <c r="M607" s="11">
        <v>8.5</v>
      </c>
      <c r="N607" s="11">
        <v>8.1</v>
      </c>
      <c r="O607" s="11">
        <f>L607*4</f>
        <v>20</v>
      </c>
      <c r="P607" s="11">
        <f>M607*4</f>
        <v>34</v>
      </c>
      <c r="Q607" s="11">
        <f>N607*4</f>
        <v>32.4</v>
      </c>
      <c r="R607" s="12">
        <f>(4/3)*3.14*(Q607/2)^3</f>
        <v>17799.730559999996</v>
      </c>
      <c r="S607" s="12">
        <f>R607/1000</f>
        <v>17.799730559999997</v>
      </c>
    </row>
    <row r="608" spans="1:19" x14ac:dyDescent="0.25">
      <c r="A608" s="7">
        <v>610</v>
      </c>
      <c r="B608" s="8" t="s">
        <v>146</v>
      </c>
      <c r="C608" s="8" t="s">
        <v>504</v>
      </c>
      <c r="D608" s="7" t="s">
        <v>741</v>
      </c>
      <c r="E608" s="8" t="s">
        <v>743</v>
      </c>
      <c r="F608" s="9">
        <v>5</v>
      </c>
      <c r="G608" s="10" t="s">
        <v>33</v>
      </c>
      <c r="H608" s="8" t="s">
        <v>86</v>
      </c>
      <c r="I608" s="8" t="s">
        <v>86</v>
      </c>
      <c r="J608" s="8"/>
      <c r="K608" s="8"/>
      <c r="L608" s="11">
        <v>4.8</v>
      </c>
      <c r="M608" s="11">
        <v>8.8000000000000007</v>
      </c>
      <c r="N608" s="11">
        <v>8.6999999999999993</v>
      </c>
      <c r="O608" s="11">
        <f>L608*4</f>
        <v>19.2</v>
      </c>
      <c r="P608" s="11">
        <f>M608*4</f>
        <v>35.200000000000003</v>
      </c>
      <c r="Q608" s="11">
        <f>N608*4</f>
        <v>34.799999999999997</v>
      </c>
      <c r="R608" s="12">
        <f>(4/3)*3.14*(Q608/2)^3</f>
        <v>22055.460479999994</v>
      </c>
      <c r="S608" s="12">
        <f>R608/1000</f>
        <v>22.055460479999994</v>
      </c>
    </row>
    <row r="609" spans="1:19" x14ac:dyDescent="0.25">
      <c r="A609" s="7">
        <v>611</v>
      </c>
      <c r="B609" s="8" t="s">
        <v>146</v>
      </c>
      <c r="C609" s="8" t="s">
        <v>505</v>
      </c>
      <c r="D609" s="7" t="s">
        <v>741</v>
      </c>
      <c r="E609" s="8" t="s">
        <v>743</v>
      </c>
      <c r="F609" s="9">
        <v>5</v>
      </c>
      <c r="G609" s="10" t="s">
        <v>37</v>
      </c>
      <c r="H609" s="8" t="s">
        <v>154</v>
      </c>
      <c r="I609" s="8" t="s">
        <v>155</v>
      </c>
      <c r="J609" s="8"/>
      <c r="K609" s="8"/>
      <c r="L609" s="11">
        <v>6.9</v>
      </c>
      <c r="M609" s="11">
        <v>9.6</v>
      </c>
      <c r="N609" s="11">
        <v>10.6</v>
      </c>
      <c r="O609" s="11">
        <f>L609*4</f>
        <v>27.6</v>
      </c>
      <c r="P609" s="11">
        <f>M609*4</f>
        <v>38.4</v>
      </c>
      <c r="Q609" s="11">
        <f>N609*4</f>
        <v>42.4</v>
      </c>
      <c r="R609" s="12">
        <f>(4/3)*3.14*(Q609/2)^3</f>
        <v>39891.095893333324</v>
      </c>
      <c r="S609" s="12">
        <f>R609/1000</f>
        <v>39.891095893333322</v>
      </c>
    </row>
    <row r="610" spans="1:19" x14ac:dyDescent="0.25">
      <c r="A610" s="7">
        <v>612</v>
      </c>
      <c r="B610" s="8" t="s">
        <v>146</v>
      </c>
      <c r="C610" s="8" t="s">
        <v>506</v>
      </c>
      <c r="D610" s="7" t="s">
        <v>742</v>
      </c>
      <c r="E610" s="8" t="s">
        <v>743</v>
      </c>
      <c r="F610" s="9">
        <v>5</v>
      </c>
      <c r="G610" s="10" t="s">
        <v>33</v>
      </c>
      <c r="H610" s="8" t="s">
        <v>154</v>
      </c>
      <c r="I610" s="8" t="s">
        <v>155</v>
      </c>
      <c r="J610" s="8"/>
      <c r="K610" s="8"/>
      <c r="L610" s="11">
        <v>6.1</v>
      </c>
      <c r="M610" s="11">
        <v>8.3000000000000007</v>
      </c>
      <c r="N610" s="11">
        <v>8.6999999999999993</v>
      </c>
      <c r="O610" s="11">
        <f>L610*4</f>
        <v>24.4</v>
      </c>
      <c r="P610" s="11">
        <f>M610*4</f>
        <v>33.200000000000003</v>
      </c>
      <c r="Q610" s="11">
        <f>N610*4</f>
        <v>34.799999999999997</v>
      </c>
      <c r="R610" s="12">
        <f>(4/3)*3.14*(Q610/2)^3</f>
        <v>22055.460479999994</v>
      </c>
      <c r="S610" s="12">
        <f>R610/1000</f>
        <v>22.055460479999994</v>
      </c>
    </row>
    <row r="611" spans="1:19" x14ac:dyDescent="0.25">
      <c r="A611" s="7">
        <v>613</v>
      </c>
      <c r="B611" s="8" t="s">
        <v>146</v>
      </c>
      <c r="C611" s="8" t="s">
        <v>507</v>
      </c>
      <c r="D611" s="7" t="s">
        <v>742</v>
      </c>
      <c r="E611" s="8" t="s">
        <v>743</v>
      </c>
      <c r="F611" s="9">
        <v>5</v>
      </c>
      <c r="G611" s="10" t="s">
        <v>42</v>
      </c>
      <c r="H611" s="8" t="s">
        <v>60</v>
      </c>
      <c r="I611" s="8" t="s">
        <v>61</v>
      </c>
      <c r="J611" s="8"/>
      <c r="K611" s="8"/>
      <c r="L611" s="11">
        <v>10.199999999999999</v>
      </c>
      <c r="M611" s="11">
        <v>14.1</v>
      </c>
      <c r="N611" s="11">
        <v>15.8</v>
      </c>
      <c r="O611" s="11">
        <f>L611*4</f>
        <v>40.799999999999997</v>
      </c>
      <c r="P611" s="11">
        <f>M611*4</f>
        <v>56.4</v>
      </c>
      <c r="Q611" s="11">
        <f>N611*4</f>
        <v>63.2</v>
      </c>
      <c r="R611" s="12">
        <f>(4/3)*3.14*(Q611/2)^3</f>
        <v>132108.15658666668</v>
      </c>
      <c r="S611" s="12">
        <f>R611/1000</f>
        <v>132.10815658666667</v>
      </c>
    </row>
    <row r="612" spans="1:19" x14ac:dyDescent="0.25">
      <c r="A612" s="7">
        <v>614</v>
      </c>
      <c r="B612" s="8" t="s">
        <v>146</v>
      </c>
      <c r="C612" s="8" t="s">
        <v>291</v>
      </c>
      <c r="D612" s="7" t="s">
        <v>742</v>
      </c>
      <c r="E612" s="8" t="s">
        <v>743</v>
      </c>
      <c r="F612" s="9">
        <v>4</v>
      </c>
      <c r="G612" s="10" t="s">
        <v>37</v>
      </c>
      <c r="H612" s="8" t="s">
        <v>54</v>
      </c>
      <c r="I612" s="8" t="s">
        <v>55</v>
      </c>
      <c r="J612" s="8"/>
      <c r="K612" s="8"/>
      <c r="L612" s="11">
        <v>14</v>
      </c>
      <c r="M612" s="11">
        <v>9.1</v>
      </c>
      <c r="N612" s="11">
        <v>14</v>
      </c>
      <c r="O612" s="11">
        <f>L612*4</f>
        <v>56</v>
      </c>
      <c r="P612" s="11">
        <f>M612*4</f>
        <v>36.4</v>
      </c>
      <c r="Q612" s="11">
        <f>N612*4</f>
        <v>56</v>
      </c>
      <c r="R612" s="12">
        <f>2/3*3.14*(Q612/2)^3</f>
        <v>45952.853333333333</v>
      </c>
      <c r="S612" s="12">
        <f>R612/1000</f>
        <v>45.95285333333333</v>
      </c>
    </row>
  </sheetData>
  <sortState xmlns:xlrd2="http://schemas.microsoft.com/office/spreadsheetml/2017/richdata2" ref="A2:S613">
    <sortCondition ref="A1:A6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Pedersen</dc:creator>
  <cp:lastModifiedBy>Søren Pedersen</cp:lastModifiedBy>
  <dcterms:created xsi:type="dcterms:W3CDTF">2026-03-13T20:49:59Z</dcterms:created>
  <dcterms:modified xsi:type="dcterms:W3CDTF">2026-07-01T15:18:13Z</dcterms:modified>
</cp:coreProperties>
</file>